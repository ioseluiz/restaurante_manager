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ALOS ADMINISTRACION\PRESUPUESTO NOVIEMBRE 2025 001\PEDIDOS SEMANALES\"/>
    </mc:Choice>
  </mc:AlternateContent>
  <xr:revisionPtr revIDLastSave="0" documentId="13_ncr:1_{CA2D10E3-6E36-4600-B1BB-3029D6E4B125}" xr6:coauthVersionLast="47" xr6:coauthVersionMax="47" xr10:uidLastSave="{00000000-0000-0000-0000-000000000000}"/>
  <bookViews>
    <workbookView xWindow="-110" yWindow="-110" windowWidth="19420" windowHeight="12660" xr2:uid="{00000000-000D-0000-FFFF-FFFF00000000}"/>
  </bookViews>
  <sheets>
    <sheet name="30'10'25" sheetId="4" r:id="rId1"/>
    <sheet name="Hoja1" sheetId="5" r:id="rId2"/>
  </sheets>
  <definedNames>
    <definedName name="_xlnm._FilterDatabase" localSheetId="0" hidden="1">'30''10''25'!$A$2:$C$60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4" i="4" l="1"/>
  <c r="E45" i="4"/>
  <c r="E46" i="4"/>
  <c r="E43" i="4"/>
  <c r="H47" i="4"/>
  <c r="H37" i="4" l="1"/>
  <c r="H32" i="4"/>
  <c r="H3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4" i="4"/>
  <c r="H35" i="4"/>
  <c r="H36" i="4"/>
  <c r="H38" i="4"/>
  <c r="H39" i="4"/>
  <c r="H40" i="4"/>
  <c r="H41" i="4"/>
  <c r="H42" i="4"/>
  <c r="H43" i="4"/>
  <c r="H44" i="4"/>
  <c r="H45" i="4"/>
  <c r="H46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3" i="4"/>
  <c r="I2" i="4" l="1"/>
</calcChain>
</file>

<file path=xl/sharedStrings.xml><?xml version="1.0" encoding="utf-8"?>
<sst xmlns="http://schemas.openxmlformats.org/spreadsheetml/2006/main" count="229" uniqueCount="99">
  <si>
    <t>8x8 cd</t>
  </si>
  <si>
    <t>vaso #16</t>
  </si>
  <si>
    <t>8x8 sd</t>
  </si>
  <si>
    <t>vaso #12</t>
  </si>
  <si>
    <t>tapas #16</t>
  </si>
  <si>
    <t xml:space="preserve">set de cuchara </t>
  </si>
  <si>
    <t>SET DE CUBIERTOS</t>
  </si>
  <si>
    <t>STOCK</t>
  </si>
  <si>
    <t>PEDIR</t>
  </si>
  <si>
    <t>ENVASE #8</t>
  </si>
  <si>
    <t>caja</t>
  </si>
  <si>
    <t>envase de #4</t>
  </si>
  <si>
    <t>tapas #4</t>
  </si>
  <si>
    <t xml:space="preserve">carrizo </t>
  </si>
  <si>
    <t>cajas</t>
  </si>
  <si>
    <t xml:space="preserve">aceite </t>
  </si>
  <si>
    <t>bulto</t>
  </si>
  <si>
    <t xml:space="preserve">tapas de envase #24 </t>
  </si>
  <si>
    <t>tapas de café 8oz</t>
  </si>
  <si>
    <t xml:space="preserve">cocacola </t>
  </si>
  <si>
    <t xml:space="preserve">coca zero </t>
  </si>
  <si>
    <t xml:space="preserve">ginger </t>
  </si>
  <si>
    <t xml:space="preserve">fresa </t>
  </si>
  <si>
    <t xml:space="preserve">coca 1 L </t>
  </si>
  <si>
    <t xml:space="preserve">jugo variado </t>
  </si>
  <si>
    <t xml:space="preserve">vaso de café </t>
  </si>
  <si>
    <t>azucar</t>
  </si>
  <si>
    <t xml:space="preserve">leche ideal </t>
  </si>
  <si>
    <t>tapas 0.75</t>
  </si>
  <si>
    <t xml:space="preserve">envase 2 oz </t>
  </si>
  <si>
    <t>tapa envase 2 oz</t>
  </si>
  <si>
    <t>unico</t>
  </si>
  <si>
    <t xml:space="preserve">harina </t>
  </si>
  <si>
    <t xml:space="preserve">sal </t>
  </si>
  <si>
    <t>codito</t>
  </si>
  <si>
    <t xml:space="preserve">ketchup </t>
  </si>
  <si>
    <t xml:space="preserve">mayonesa </t>
  </si>
  <si>
    <t>mostaza</t>
  </si>
  <si>
    <t xml:space="preserve">macarrones </t>
  </si>
  <si>
    <t xml:space="preserve">salsa china </t>
  </si>
  <si>
    <t xml:space="preserve">manteca </t>
  </si>
  <si>
    <t xml:space="preserve">ponche </t>
  </si>
  <si>
    <t xml:space="preserve">te frio </t>
  </si>
  <si>
    <t>vinagre</t>
  </si>
  <si>
    <t xml:space="preserve">harinas del istmo </t>
  </si>
  <si>
    <t xml:space="preserve">pana sal </t>
  </si>
  <si>
    <t>ind alimenticias Veraguas</t>
  </si>
  <si>
    <t xml:space="preserve">la doña </t>
  </si>
  <si>
    <t>nhs</t>
  </si>
  <si>
    <t xml:space="preserve">nathan foods </t>
  </si>
  <si>
    <t>price smarth</t>
  </si>
  <si>
    <t>jabon polvo</t>
  </si>
  <si>
    <t>papas (legumbre</t>
  </si>
  <si>
    <t>precio</t>
  </si>
  <si>
    <t>total</t>
  </si>
  <si>
    <t>PROVEEDOR</t>
  </si>
  <si>
    <t>CATEGORIA</t>
  </si>
  <si>
    <t>VIVERES (MENESTRAS, KETCHUP, OTROS)</t>
  </si>
  <si>
    <t xml:space="preserve">SODAS, REFRESCOS AGUA </t>
  </si>
  <si>
    <t xml:space="preserve">FIAMBRERAS, ENVASES VARIOS </t>
  </si>
  <si>
    <t xml:space="preserve">ARROZ,LEGUMBRES,PAPITAS, ETC </t>
  </si>
  <si>
    <t>pimienta</t>
  </si>
  <si>
    <t>oregano</t>
  </si>
  <si>
    <t xml:space="preserve">caldo rojo </t>
  </si>
  <si>
    <t xml:space="preserve">consome de res </t>
  </si>
  <si>
    <t xml:space="preserve">consome de marisco </t>
  </si>
  <si>
    <t xml:space="preserve">consome de pollo </t>
  </si>
  <si>
    <t xml:space="preserve">ajo en polvo </t>
  </si>
  <si>
    <t xml:space="preserve">pime </t>
  </si>
  <si>
    <t xml:space="preserve">producto </t>
  </si>
  <si>
    <t>café</t>
  </si>
  <si>
    <t xml:space="preserve">azucar café </t>
  </si>
  <si>
    <t xml:space="preserve">palo alto </t>
  </si>
  <si>
    <t xml:space="preserve">pasta de tomate </t>
  </si>
  <si>
    <t xml:space="preserve">nhs </t>
  </si>
  <si>
    <t xml:space="preserve">empanada de harina </t>
  </si>
  <si>
    <t xml:space="preserve">caba sa </t>
  </si>
  <si>
    <t>papel toalla</t>
  </si>
  <si>
    <t>papel higienico</t>
  </si>
  <si>
    <t>6*6 fiambrera</t>
  </si>
  <si>
    <t>5 tubos</t>
  </si>
  <si>
    <t xml:space="preserve">3 tubos </t>
  </si>
  <si>
    <t>17 paquetes</t>
  </si>
  <si>
    <t>4 bultos</t>
  </si>
  <si>
    <t>2 u</t>
  </si>
  <si>
    <t>vaso 10 oz trans</t>
  </si>
  <si>
    <t xml:space="preserve">envase de 0.75 oz </t>
  </si>
  <si>
    <t xml:space="preserve">12 tubos </t>
  </si>
  <si>
    <t>13 tubos</t>
  </si>
  <si>
    <t xml:space="preserve">9 tubos </t>
  </si>
  <si>
    <t xml:space="preserve">8 tubos </t>
  </si>
  <si>
    <t xml:space="preserve">11 tubos </t>
  </si>
  <si>
    <t xml:space="preserve">5 tubos </t>
  </si>
  <si>
    <t xml:space="preserve">2 paq </t>
  </si>
  <si>
    <t>bultos</t>
  </si>
  <si>
    <t xml:space="preserve">14 u </t>
  </si>
  <si>
    <t>u</t>
  </si>
  <si>
    <t>agua</t>
  </si>
  <si>
    <t xml:space="preserve">envase #24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</si>
</sst>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B/.&quot;* #,##0.00_-;\-&quot;B/.&quot;* #,##0.00_-;_-&quot;B/.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left"/>
    </xf>
    <xf numFmtId="0" fontId="2" fillId="0" borderId="0" xfId="0" applyFont="1"/>
    <xf numFmtId="44" fontId="0" fillId="0" borderId="2" xfId="1" applyFont="1" applyBorder="1"/>
    <xf numFmtId="44" fontId="0" fillId="0" borderId="1" xfId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I60"/>
  <sheetViews>
    <sheetView tabSelected="1" workbookViewId="0">
      <selection activeCell="F11" sqref="F11"/>
    </sheetView>
  </sheetViews>
  <sheetFormatPr baseColWidth="10" defaultRowHeight="14.5" x14ac:dyDescent="0.35"/>
  <cols>
    <col min="1" max="1" width="6.54296875" customWidth="1"/>
    <col min="2" max="2" width="22.1796875" bestFit="1" customWidth="1"/>
    <col min="3" max="3" width="7.26953125" customWidth="1"/>
    <col min="4" max="4" width="11.7265625" hidden="1" customWidth="1"/>
    <col min="5" max="5" width="6.1796875" bestFit="1" customWidth="1"/>
    <col min="6" max="6" width="6.54296875" bestFit="1" customWidth="1"/>
    <col min="7" max="7" width="9.54296875" bestFit="1" customWidth="1"/>
    <col min="8" max="9" width="12.1796875" bestFit="1" customWidth="1"/>
  </cols>
  <sheetData>
    <row r="1" spans="1:9" x14ac:dyDescent="0.35">
      <c r="I1" s="2"/>
    </row>
    <row r="2" spans="1:9" x14ac:dyDescent="0.35">
      <c r="A2" s="1" t="s">
        <v>56</v>
      </c>
      <c r="B2" s="1" t="s">
        <v>69</v>
      </c>
      <c r="C2" s="1" t="s">
        <v>55</v>
      </c>
      <c r="D2" s="4" t="s">
        <v>7</v>
      </c>
      <c r="E2" s="8" t="s">
        <v>8</v>
      </c>
      <c r="F2" s="4"/>
      <c r="G2" s="2" t="s">
        <v>53</v>
      </c>
      <c r="H2" s="2" t="s">
        <v>54</v>
      </c>
      <c r="I2" s="14">
        <f>H18+H19+H20+H21+H22+H23+H24+H25+H26+H27+H28+H29+H30+H31+H32+H33+H34+H35+H37+H39+H40+H43+H44+H45+H46+H47+H48+H49</f>
        <v>2964.15</v>
      </c>
    </row>
    <row r="3" spans="1:9" hidden="1" x14ac:dyDescent="0.35">
      <c r="A3" s="3" t="s">
        <v>57</v>
      </c>
      <c r="B3" t="s">
        <v>32</v>
      </c>
      <c r="C3" t="s">
        <v>44</v>
      </c>
      <c r="D3">
        <v>4</v>
      </c>
      <c r="E3">
        <v>0</v>
      </c>
      <c r="G3" s="6">
        <v>12.5</v>
      </c>
      <c r="H3" s="6">
        <f>E3*G3</f>
        <v>0</v>
      </c>
    </row>
    <row r="4" spans="1:9" hidden="1" x14ac:dyDescent="0.35">
      <c r="A4" s="3" t="s">
        <v>57</v>
      </c>
      <c r="B4" t="s">
        <v>33</v>
      </c>
      <c r="C4" t="s">
        <v>45</v>
      </c>
      <c r="D4">
        <v>1</v>
      </c>
      <c r="G4" s="7">
        <v>9.6</v>
      </c>
      <c r="H4" s="6">
        <f t="shared" ref="H4:H60" si="0">E4*G4</f>
        <v>0</v>
      </c>
    </row>
    <row r="5" spans="1:9" hidden="1" x14ac:dyDescent="0.35">
      <c r="A5" s="3" t="s">
        <v>57</v>
      </c>
      <c r="B5" t="s">
        <v>34</v>
      </c>
      <c r="C5" t="s">
        <v>46</v>
      </c>
      <c r="G5" s="7"/>
      <c r="H5" s="6">
        <f t="shared" si="0"/>
        <v>0</v>
      </c>
    </row>
    <row r="6" spans="1:9" hidden="1" x14ac:dyDescent="0.35">
      <c r="A6" s="3" t="s">
        <v>57</v>
      </c>
      <c r="B6" t="s">
        <v>35</v>
      </c>
      <c r="C6" t="s">
        <v>47</v>
      </c>
      <c r="G6" s="7">
        <v>42.9</v>
      </c>
      <c r="H6" s="6">
        <f t="shared" si="0"/>
        <v>0</v>
      </c>
    </row>
    <row r="7" spans="1:9" hidden="1" x14ac:dyDescent="0.35">
      <c r="A7" s="3" t="s">
        <v>57</v>
      </c>
      <c r="B7" t="s">
        <v>36</v>
      </c>
      <c r="C7" t="s">
        <v>47</v>
      </c>
      <c r="G7" s="7">
        <v>34</v>
      </c>
      <c r="H7" s="6">
        <f t="shared" si="0"/>
        <v>0</v>
      </c>
    </row>
    <row r="8" spans="1:9" hidden="1" x14ac:dyDescent="0.35">
      <c r="A8" s="3" t="s">
        <v>57</v>
      </c>
      <c r="B8" t="s">
        <v>37</v>
      </c>
      <c r="C8" t="s">
        <v>47</v>
      </c>
      <c r="G8" s="7">
        <v>30</v>
      </c>
      <c r="H8" s="6">
        <f t="shared" si="0"/>
        <v>0</v>
      </c>
    </row>
    <row r="9" spans="1:9" hidden="1" x14ac:dyDescent="0.35">
      <c r="A9" s="3" t="s">
        <v>57</v>
      </c>
      <c r="B9" t="s">
        <v>38</v>
      </c>
      <c r="C9" t="s">
        <v>46</v>
      </c>
      <c r="G9" s="7"/>
      <c r="H9" s="6">
        <f t="shared" si="0"/>
        <v>0</v>
      </c>
    </row>
    <row r="10" spans="1:9" hidden="1" x14ac:dyDescent="0.35">
      <c r="A10" s="3" t="s">
        <v>57</v>
      </c>
      <c r="B10" t="s">
        <v>39</v>
      </c>
      <c r="C10" t="s">
        <v>48</v>
      </c>
      <c r="G10" s="7">
        <v>2.25</v>
      </c>
      <c r="H10" s="6">
        <f t="shared" si="0"/>
        <v>0</v>
      </c>
    </row>
    <row r="11" spans="1:9" x14ac:dyDescent="0.35">
      <c r="A11" s="3" t="s">
        <v>57</v>
      </c>
      <c r="B11" t="s">
        <v>15</v>
      </c>
      <c r="C11" t="s">
        <v>49</v>
      </c>
      <c r="G11" s="7">
        <v>28</v>
      </c>
      <c r="H11" s="6">
        <f t="shared" si="0"/>
        <v>0</v>
      </c>
    </row>
    <row r="12" spans="1:9" hidden="1" x14ac:dyDescent="0.35">
      <c r="A12" s="3" t="s">
        <v>57</v>
      </c>
      <c r="B12" t="s">
        <v>40</v>
      </c>
      <c r="C12" t="s">
        <v>50</v>
      </c>
      <c r="G12" s="7">
        <v>28</v>
      </c>
      <c r="H12" s="6">
        <f t="shared" si="0"/>
        <v>0</v>
      </c>
    </row>
    <row r="13" spans="1:9" hidden="1" x14ac:dyDescent="0.35">
      <c r="A13" s="3" t="s">
        <v>57</v>
      </c>
      <c r="B13" t="s">
        <v>41</v>
      </c>
      <c r="C13" t="s">
        <v>50</v>
      </c>
      <c r="G13" s="7">
        <v>9.49</v>
      </c>
      <c r="H13" s="6">
        <f t="shared" si="0"/>
        <v>0</v>
      </c>
    </row>
    <row r="14" spans="1:9" hidden="1" x14ac:dyDescent="0.35">
      <c r="A14" s="3" t="s">
        <v>57</v>
      </c>
      <c r="B14" t="s">
        <v>42</v>
      </c>
      <c r="C14" t="s">
        <v>50</v>
      </c>
      <c r="G14" s="7">
        <v>5.99</v>
      </c>
      <c r="H14" s="6">
        <f t="shared" si="0"/>
        <v>0</v>
      </c>
    </row>
    <row r="15" spans="1:9" hidden="1" x14ac:dyDescent="0.35">
      <c r="A15" s="3" t="s">
        <v>57</v>
      </c>
      <c r="B15" t="s">
        <v>51</v>
      </c>
      <c r="C15" t="s">
        <v>50</v>
      </c>
      <c r="G15" s="7"/>
      <c r="H15" s="6">
        <f t="shared" si="0"/>
        <v>0</v>
      </c>
    </row>
    <row r="16" spans="1:9" hidden="1" x14ac:dyDescent="0.35">
      <c r="A16" s="3" t="s">
        <v>60</v>
      </c>
      <c r="B16" t="s">
        <v>52</v>
      </c>
      <c r="C16" t="s">
        <v>50</v>
      </c>
      <c r="G16" s="7">
        <v>4.6900000000000004</v>
      </c>
      <c r="H16" s="6">
        <f t="shared" si="0"/>
        <v>0</v>
      </c>
    </row>
    <row r="17" spans="1:8" hidden="1" x14ac:dyDescent="0.35">
      <c r="A17" s="3" t="s">
        <v>57</v>
      </c>
      <c r="B17" t="s">
        <v>43</v>
      </c>
      <c r="C17" t="s">
        <v>50</v>
      </c>
      <c r="G17" s="7">
        <v>2.69</v>
      </c>
      <c r="H17" s="6">
        <f t="shared" si="0"/>
        <v>0</v>
      </c>
    </row>
    <row r="18" spans="1:8" hidden="1" x14ac:dyDescent="0.35">
      <c r="A18" s="3" t="s">
        <v>59</v>
      </c>
      <c r="B18" s="13" t="s">
        <v>0</v>
      </c>
      <c r="C18" s="12" t="s">
        <v>31</v>
      </c>
      <c r="D18">
        <v>0</v>
      </c>
      <c r="E18" s="5">
        <v>8</v>
      </c>
      <c r="F18" s="5" t="s">
        <v>16</v>
      </c>
      <c r="G18" s="7">
        <v>13</v>
      </c>
      <c r="H18" s="6">
        <f t="shared" si="0"/>
        <v>104</v>
      </c>
    </row>
    <row r="19" spans="1:8" hidden="1" x14ac:dyDescent="0.35">
      <c r="A19" s="3" t="s">
        <v>59</v>
      </c>
      <c r="B19" s="13" t="s">
        <v>1</v>
      </c>
      <c r="C19" s="12" t="s">
        <v>31</v>
      </c>
      <c r="D19">
        <v>0</v>
      </c>
      <c r="E19" s="5">
        <v>4</v>
      </c>
      <c r="F19" s="5" t="s">
        <v>10</v>
      </c>
      <c r="G19" s="7">
        <v>25.5</v>
      </c>
      <c r="H19" s="6">
        <f t="shared" si="0"/>
        <v>102</v>
      </c>
    </row>
    <row r="20" spans="1:8" hidden="1" x14ac:dyDescent="0.35">
      <c r="A20" s="3" t="s">
        <v>59</v>
      </c>
      <c r="B20" s="13" t="s">
        <v>2</v>
      </c>
      <c r="C20" s="12" t="s">
        <v>31</v>
      </c>
      <c r="D20">
        <v>1</v>
      </c>
      <c r="E20" s="5">
        <v>7</v>
      </c>
      <c r="F20" s="5" t="s">
        <v>16</v>
      </c>
      <c r="G20" s="7">
        <v>13</v>
      </c>
      <c r="H20" s="6">
        <f t="shared" si="0"/>
        <v>91</v>
      </c>
    </row>
    <row r="21" spans="1:8" hidden="1" x14ac:dyDescent="0.35">
      <c r="A21" s="3" t="s">
        <v>59</v>
      </c>
      <c r="B21" s="13" t="s">
        <v>3</v>
      </c>
      <c r="C21" s="12" t="s">
        <v>31</v>
      </c>
      <c r="D21">
        <v>1</v>
      </c>
      <c r="E21" s="5">
        <v>1</v>
      </c>
      <c r="F21" s="5" t="s">
        <v>14</v>
      </c>
      <c r="G21" s="7">
        <v>36</v>
      </c>
      <c r="H21" s="6">
        <f t="shared" si="0"/>
        <v>36</v>
      </c>
    </row>
    <row r="22" spans="1:8" hidden="1" x14ac:dyDescent="0.35">
      <c r="A22" s="3" t="s">
        <v>59</v>
      </c>
      <c r="B22" s="13" t="s">
        <v>4</v>
      </c>
      <c r="C22" s="12" t="s">
        <v>31</v>
      </c>
      <c r="D22">
        <v>0</v>
      </c>
      <c r="E22" s="5">
        <v>4</v>
      </c>
      <c r="F22" s="5" t="s">
        <v>16</v>
      </c>
      <c r="G22" s="7">
        <v>16</v>
      </c>
      <c r="H22" s="6">
        <f t="shared" si="0"/>
        <v>64</v>
      </c>
    </row>
    <row r="23" spans="1:8" hidden="1" x14ac:dyDescent="0.35">
      <c r="A23" s="3" t="s">
        <v>59</v>
      </c>
      <c r="B23" s="13" t="s">
        <v>5</v>
      </c>
      <c r="C23" s="12" t="s">
        <v>31</v>
      </c>
      <c r="D23">
        <v>1</v>
      </c>
      <c r="E23" s="5">
        <v>1</v>
      </c>
      <c r="F23" s="5" t="s">
        <v>10</v>
      </c>
      <c r="G23" s="7">
        <v>7.5</v>
      </c>
      <c r="H23" s="6">
        <f t="shared" si="0"/>
        <v>7.5</v>
      </c>
    </row>
    <row r="24" spans="1:8" hidden="1" x14ac:dyDescent="0.35">
      <c r="A24" s="3" t="s">
        <v>59</v>
      </c>
      <c r="B24" s="13" t="s">
        <v>79</v>
      </c>
      <c r="C24" s="12" t="s">
        <v>31</v>
      </c>
      <c r="D24">
        <v>1</v>
      </c>
      <c r="E24" s="5">
        <v>3</v>
      </c>
      <c r="F24" s="5" t="s">
        <v>16</v>
      </c>
      <c r="G24" s="7">
        <v>9.6</v>
      </c>
      <c r="H24" s="6">
        <f t="shared" si="0"/>
        <v>28.799999999999997</v>
      </c>
    </row>
    <row r="25" spans="1:8" hidden="1" x14ac:dyDescent="0.35">
      <c r="A25" s="3" t="s">
        <v>59</v>
      </c>
      <c r="B25" s="13" t="s">
        <v>6</v>
      </c>
      <c r="C25" s="12" t="s">
        <v>31</v>
      </c>
      <c r="D25">
        <v>0</v>
      </c>
      <c r="E25" s="5">
        <v>4</v>
      </c>
      <c r="F25" s="5" t="s">
        <v>10</v>
      </c>
      <c r="G25" s="7">
        <v>19.5</v>
      </c>
      <c r="H25" s="6">
        <f t="shared" si="0"/>
        <v>78</v>
      </c>
    </row>
    <row r="26" spans="1:8" hidden="1" x14ac:dyDescent="0.35">
      <c r="A26" s="3" t="s">
        <v>59</v>
      </c>
      <c r="B26" s="13" t="s">
        <v>9</v>
      </c>
      <c r="C26" s="12" t="s">
        <v>31</v>
      </c>
      <c r="D26" t="s">
        <v>80</v>
      </c>
      <c r="E26" s="5">
        <v>1</v>
      </c>
      <c r="F26" s="5" t="s">
        <v>10</v>
      </c>
      <c r="G26" s="7">
        <v>30</v>
      </c>
      <c r="H26" s="6">
        <f t="shared" si="0"/>
        <v>30</v>
      </c>
    </row>
    <row r="27" spans="1:8" hidden="1" x14ac:dyDescent="0.35">
      <c r="A27" s="3" t="s">
        <v>59</v>
      </c>
      <c r="B27" s="13" t="s">
        <v>11</v>
      </c>
      <c r="C27" s="12" t="s">
        <v>31</v>
      </c>
      <c r="D27">
        <v>1</v>
      </c>
      <c r="E27" s="5">
        <v>1</v>
      </c>
      <c r="F27" s="5" t="s">
        <v>10</v>
      </c>
      <c r="G27" s="7">
        <v>24.5</v>
      </c>
      <c r="H27" s="6">
        <f t="shared" si="0"/>
        <v>24.5</v>
      </c>
    </row>
    <row r="28" spans="1:8" hidden="1" x14ac:dyDescent="0.35">
      <c r="A28" s="3" t="s">
        <v>59</v>
      </c>
      <c r="B28" s="13" t="s">
        <v>12</v>
      </c>
      <c r="C28" s="12" t="s">
        <v>31</v>
      </c>
      <c r="D28" t="s">
        <v>81</v>
      </c>
      <c r="E28" s="5">
        <v>1</v>
      </c>
      <c r="F28" s="5" t="s">
        <v>10</v>
      </c>
      <c r="G28" s="7">
        <v>17.5</v>
      </c>
      <c r="H28" s="6">
        <f t="shared" si="0"/>
        <v>17.5</v>
      </c>
    </row>
    <row r="29" spans="1:8" hidden="1" x14ac:dyDescent="0.35">
      <c r="A29" s="3" t="s">
        <v>59</v>
      </c>
      <c r="B29" s="13" t="s">
        <v>13</v>
      </c>
      <c r="C29" s="12" t="s">
        <v>31</v>
      </c>
      <c r="D29" t="s">
        <v>82</v>
      </c>
      <c r="E29" s="5">
        <v>1</v>
      </c>
      <c r="F29" s="5" t="s">
        <v>16</v>
      </c>
      <c r="G29" s="7">
        <v>31.2</v>
      </c>
      <c r="H29" s="6">
        <f t="shared" si="0"/>
        <v>31.2</v>
      </c>
    </row>
    <row r="30" spans="1:8" hidden="1" x14ac:dyDescent="0.35">
      <c r="A30" s="3" t="s">
        <v>59</v>
      </c>
      <c r="B30" s="13" t="s">
        <v>17</v>
      </c>
      <c r="C30" s="12" t="s">
        <v>31</v>
      </c>
      <c r="D30" t="s">
        <v>83</v>
      </c>
      <c r="E30" s="5">
        <v>1</v>
      </c>
      <c r="F30" s="5" t="s">
        <v>16</v>
      </c>
      <c r="G30" s="7">
        <v>16.5</v>
      </c>
      <c r="H30" s="6">
        <f t="shared" si="0"/>
        <v>16.5</v>
      </c>
    </row>
    <row r="31" spans="1:8" hidden="1" x14ac:dyDescent="0.35">
      <c r="A31" s="3" t="s">
        <v>59</v>
      </c>
      <c r="B31" s="13" t="s">
        <v>98</v>
      </c>
      <c r="C31" s="12" t="s">
        <v>31</v>
      </c>
      <c r="D31">
        <v>0</v>
      </c>
      <c r="E31" s="5">
        <v>1</v>
      </c>
      <c r="F31" s="5" t="s">
        <v>10</v>
      </c>
      <c r="G31" s="7">
        <v>50</v>
      </c>
      <c r="H31" s="6">
        <f t="shared" si="0"/>
        <v>50</v>
      </c>
    </row>
    <row r="32" spans="1:8" hidden="1" x14ac:dyDescent="0.35">
      <c r="A32" s="3" t="s">
        <v>59</v>
      </c>
      <c r="B32" s="13" t="s">
        <v>77</v>
      </c>
      <c r="C32" s="12" t="s">
        <v>31</v>
      </c>
      <c r="D32">
        <v>0</v>
      </c>
      <c r="E32" s="5">
        <v>2</v>
      </c>
      <c r="F32" s="5" t="s">
        <v>14</v>
      </c>
      <c r="G32" s="7">
        <v>22</v>
      </c>
      <c r="H32" s="6">
        <f t="shared" si="0"/>
        <v>44</v>
      </c>
    </row>
    <row r="33" spans="1:8" hidden="1" x14ac:dyDescent="0.35">
      <c r="A33" s="3" t="s">
        <v>59</v>
      </c>
      <c r="B33" s="13" t="s">
        <v>78</v>
      </c>
      <c r="C33" s="12" t="s">
        <v>31</v>
      </c>
      <c r="D33" t="s">
        <v>84</v>
      </c>
      <c r="E33" s="5">
        <v>2</v>
      </c>
      <c r="F33" s="5" t="s">
        <v>14</v>
      </c>
      <c r="G33" s="7">
        <v>12.5</v>
      </c>
      <c r="H33" s="6">
        <f t="shared" si="0"/>
        <v>25</v>
      </c>
    </row>
    <row r="34" spans="1:8" hidden="1" x14ac:dyDescent="0.35">
      <c r="A34" s="3" t="s">
        <v>59</v>
      </c>
      <c r="B34" s="13" t="s">
        <v>18</v>
      </c>
      <c r="C34" s="12" t="s">
        <v>31</v>
      </c>
      <c r="D34">
        <v>0</v>
      </c>
      <c r="E34" s="5">
        <v>1</v>
      </c>
      <c r="F34" s="5" t="s">
        <v>10</v>
      </c>
      <c r="G34" s="7">
        <v>24</v>
      </c>
      <c r="H34" s="6">
        <f t="shared" si="0"/>
        <v>24</v>
      </c>
    </row>
    <row r="35" spans="1:8" hidden="1" x14ac:dyDescent="0.35">
      <c r="A35" s="3" t="s">
        <v>59</v>
      </c>
      <c r="B35" s="13" t="s">
        <v>25</v>
      </c>
      <c r="C35" s="12" t="s">
        <v>31</v>
      </c>
      <c r="D35" t="s">
        <v>91</v>
      </c>
      <c r="E35" s="5">
        <v>1</v>
      </c>
      <c r="F35" s="5" t="s">
        <v>10</v>
      </c>
      <c r="G35" s="7">
        <v>38</v>
      </c>
      <c r="H35" s="6">
        <f t="shared" si="0"/>
        <v>38</v>
      </c>
    </row>
    <row r="36" spans="1:8" hidden="1" x14ac:dyDescent="0.35">
      <c r="A36" s="3" t="s">
        <v>59</v>
      </c>
      <c r="B36" s="13" t="s">
        <v>86</v>
      </c>
      <c r="C36" s="12" t="s">
        <v>31</v>
      </c>
      <c r="D36" t="s">
        <v>87</v>
      </c>
      <c r="E36" s="5">
        <v>0</v>
      </c>
      <c r="F36" s="5"/>
      <c r="G36" s="7">
        <v>24</v>
      </c>
      <c r="H36" s="6">
        <f t="shared" si="0"/>
        <v>0</v>
      </c>
    </row>
    <row r="37" spans="1:8" hidden="1" x14ac:dyDescent="0.35">
      <c r="A37" s="3" t="s">
        <v>59</v>
      </c>
      <c r="B37" s="13" t="s">
        <v>85</v>
      </c>
      <c r="C37" s="12" t="s">
        <v>31</v>
      </c>
      <c r="D37" t="s">
        <v>92</v>
      </c>
      <c r="E37" s="5">
        <v>1</v>
      </c>
      <c r="F37" s="5" t="s">
        <v>14</v>
      </c>
      <c r="G37" s="7">
        <v>29</v>
      </c>
      <c r="H37" s="6">
        <f t="shared" si="0"/>
        <v>29</v>
      </c>
    </row>
    <row r="38" spans="1:8" hidden="1" x14ac:dyDescent="0.35">
      <c r="A38" s="3" t="s">
        <v>59</v>
      </c>
      <c r="B38" s="13" t="s">
        <v>28</v>
      </c>
      <c r="C38" s="12" t="s">
        <v>31</v>
      </c>
      <c r="D38" t="s">
        <v>88</v>
      </c>
      <c r="E38" s="5">
        <v>0</v>
      </c>
      <c r="F38" s="5"/>
      <c r="G38" s="7">
        <v>24</v>
      </c>
      <c r="H38" s="6">
        <f t="shared" si="0"/>
        <v>0</v>
      </c>
    </row>
    <row r="39" spans="1:8" hidden="1" x14ac:dyDescent="0.35">
      <c r="A39" s="3" t="s">
        <v>57</v>
      </c>
      <c r="B39" s="13" t="s">
        <v>26</v>
      </c>
      <c r="C39" s="12" t="s">
        <v>31</v>
      </c>
      <c r="D39" t="s">
        <v>93</v>
      </c>
      <c r="E39" s="5">
        <v>3</v>
      </c>
      <c r="F39" s="5" t="s">
        <v>94</v>
      </c>
      <c r="G39" s="7">
        <v>26</v>
      </c>
      <c r="H39" s="6">
        <f t="shared" si="0"/>
        <v>78</v>
      </c>
    </row>
    <row r="40" spans="1:8" hidden="1" x14ac:dyDescent="0.35">
      <c r="A40" s="3" t="s">
        <v>57</v>
      </c>
      <c r="B40" s="13" t="s">
        <v>27</v>
      </c>
      <c r="C40" s="12" t="s">
        <v>31</v>
      </c>
      <c r="D40" t="s">
        <v>95</v>
      </c>
      <c r="E40" s="5">
        <v>1</v>
      </c>
      <c r="F40" s="5" t="s">
        <v>10</v>
      </c>
      <c r="G40" s="7">
        <v>45.6</v>
      </c>
      <c r="H40" s="6">
        <f t="shared" si="0"/>
        <v>45.6</v>
      </c>
    </row>
    <row r="41" spans="1:8" hidden="1" x14ac:dyDescent="0.35">
      <c r="A41" s="3" t="s">
        <v>59</v>
      </c>
      <c r="B41" s="13" t="s">
        <v>29</v>
      </c>
      <c r="C41" s="12" t="s">
        <v>31</v>
      </c>
      <c r="D41" t="s">
        <v>89</v>
      </c>
      <c r="E41" s="5">
        <v>8</v>
      </c>
      <c r="F41" s="5" t="s">
        <v>96</v>
      </c>
      <c r="G41" s="7"/>
      <c r="H41" s="6">
        <f t="shared" si="0"/>
        <v>0</v>
      </c>
    </row>
    <row r="42" spans="1:8" hidden="1" x14ac:dyDescent="0.35">
      <c r="A42" s="3" t="s">
        <v>59</v>
      </c>
      <c r="B42" s="13" t="s">
        <v>30</v>
      </c>
      <c r="C42" s="12" t="s">
        <v>31</v>
      </c>
      <c r="D42" t="s">
        <v>90</v>
      </c>
      <c r="E42" s="5">
        <v>8</v>
      </c>
      <c r="F42" s="5" t="s">
        <v>96</v>
      </c>
      <c r="G42" s="7"/>
      <c r="H42" s="6">
        <f t="shared" si="0"/>
        <v>0</v>
      </c>
    </row>
    <row r="43" spans="1:8" hidden="1" x14ac:dyDescent="0.35">
      <c r="A43" s="3" t="s">
        <v>58</v>
      </c>
      <c r="B43" s="13" t="s">
        <v>19</v>
      </c>
      <c r="C43" s="12" t="s">
        <v>31</v>
      </c>
      <c r="E43" s="5">
        <f>42*4</f>
        <v>168</v>
      </c>
      <c r="F43" s="5" t="s">
        <v>14</v>
      </c>
      <c r="G43" s="7">
        <v>7.25</v>
      </c>
      <c r="H43" s="6">
        <f t="shared" si="0"/>
        <v>1218</v>
      </c>
    </row>
    <row r="44" spans="1:8" hidden="1" x14ac:dyDescent="0.35">
      <c r="A44" s="3" t="s">
        <v>58</v>
      </c>
      <c r="B44" s="13" t="s">
        <v>20</v>
      </c>
      <c r="C44" s="12" t="s">
        <v>31</v>
      </c>
      <c r="E44" s="5">
        <f>5*4</f>
        <v>20</v>
      </c>
      <c r="F44" s="5" t="s">
        <v>14</v>
      </c>
      <c r="G44" s="7">
        <v>7.25</v>
      </c>
      <c r="H44" s="6">
        <f t="shared" si="0"/>
        <v>145</v>
      </c>
    </row>
    <row r="45" spans="1:8" hidden="1" x14ac:dyDescent="0.35">
      <c r="A45" s="3" t="s">
        <v>58</v>
      </c>
      <c r="B45" s="13" t="s">
        <v>21</v>
      </c>
      <c r="C45" s="12" t="s">
        <v>31</v>
      </c>
      <c r="E45" s="5">
        <f>10*4</f>
        <v>40</v>
      </c>
      <c r="F45" s="5" t="s">
        <v>14</v>
      </c>
      <c r="G45" s="7">
        <v>5.9</v>
      </c>
      <c r="H45" s="6">
        <f t="shared" si="0"/>
        <v>236</v>
      </c>
    </row>
    <row r="46" spans="1:8" hidden="1" x14ac:dyDescent="0.35">
      <c r="A46" s="3" t="s">
        <v>58</v>
      </c>
      <c r="B46" s="13" t="s">
        <v>22</v>
      </c>
      <c r="C46" s="12" t="s">
        <v>31</v>
      </c>
      <c r="E46" s="5">
        <f>5*4</f>
        <v>20</v>
      </c>
      <c r="F46" s="5" t="s">
        <v>14</v>
      </c>
      <c r="G46" s="7">
        <v>7.25</v>
      </c>
      <c r="H46" s="6">
        <f t="shared" si="0"/>
        <v>145</v>
      </c>
    </row>
    <row r="47" spans="1:8" hidden="1" x14ac:dyDescent="0.35">
      <c r="A47" s="3" t="s">
        <v>58</v>
      </c>
      <c r="B47" s="13" t="s">
        <v>97</v>
      </c>
      <c r="C47" s="12" t="s">
        <v>31</v>
      </c>
      <c r="E47" s="5">
        <v>13</v>
      </c>
      <c r="F47" s="5" t="s">
        <v>14</v>
      </c>
      <c r="G47" s="7">
        <v>3.85</v>
      </c>
      <c r="H47" s="6">
        <f t="shared" si="0"/>
        <v>50.050000000000004</v>
      </c>
    </row>
    <row r="48" spans="1:8" hidden="1" x14ac:dyDescent="0.35">
      <c r="A48" s="3" t="s">
        <v>58</v>
      </c>
      <c r="B48" s="13" t="s">
        <v>23</v>
      </c>
      <c r="C48" s="12" t="s">
        <v>31</v>
      </c>
      <c r="E48" s="5">
        <v>11</v>
      </c>
      <c r="F48" s="5" t="s">
        <v>14</v>
      </c>
      <c r="G48" s="7">
        <v>16.5</v>
      </c>
      <c r="H48" s="6">
        <f t="shared" si="0"/>
        <v>181.5</v>
      </c>
    </row>
    <row r="49" spans="1:8" hidden="1" x14ac:dyDescent="0.35">
      <c r="A49" s="3" t="s">
        <v>58</v>
      </c>
      <c r="B49" s="13" t="s">
        <v>24</v>
      </c>
      <c r="C49" s="12" t="s">
        <v>31</v>
      </c>
      <c r="E49" s="5">
        <v>2</v>
      </c>
      <c r="F49" s="5" t="s">
        <v>14</v>
      </c>
      <c r="G49" s="7">
        <v>12</v>
      </c>
      <c r="H49" s="6">
        <f t="shared" si="0"/>
        <v>24</v>
      </c>
    </row>
    <row r="50" spans="1:8" hidden="1" x14ac:dyDescent="0.35">
      <c r="A50" t="s">
        <v>57</v>
      </c>
      <c r="B50" t="s">
        <v>61</v>
      </c>
      <c r="C50" t="s">
        <v>68</v>
      </c>
      <c r="G50" s="7">
        <v>2.5</v>
      </c>
      <c r="H50" s="6">
        <f t="shared" si="0"/>
        <v>0</v>
      </c>
    </row>
    <row r="51" spans="1:8" hidden="1" x14ac:dyDescent="0.35">
      <c r="A51" t="s">
        <v>57</v>
      </c>
      <c r="B51" t="s">
        <v>62</v>
      </c>
      <c r="C51" t="s">
        <v>68</v>
      </c>
      <c r="G51" s="7">
        <v>3.5</v>
      </c>
      <c r="H51" s="6">
        <f t="shared" si="0"/>
        <v>0</v>
      </c>
    </row>
    <row r="52" spans="1:8" hidden="1" x14ac:dyDescent="0.35">
      <c r="A52" t="s">
        <v>57</v>
      </c>
      <c r="B52" t="s">
        <v>63</v>
      </c>
      <c r="C52" t="s">
        <v>68</v>
      </c>
      <c r="G52" s="7">
        <v>2</v>
      </c>
      <c r="H52" s="6">
        <f t="shared" si="0"/>
        <v>0</v>
      </c>
    </row>
    <row r="53" spans="1:8" hidden="1" x14ac:dyDescent="0.35">
      <c r="A53" t="s">
        <v>57</v>
      </c>
      <c r="B53" t="s">
        <v>64</v>
      </c>
      <c r="C53" t="s">
        <v>68</v>
      </c>
      <c r="G53" s="7">
        <v>2.5</v>
      </c>
      <c r="H53" s="6">
        <f t="shared" si="0"/>
        <v>0</v>
      </c>
    </row>
    <row r="54" spans="1:8" hidden="1" x14ac:dyDescent="0.35">
      <c r="A54" t="s">
        <v>57</v>
      </c>
      <c r="B54" t="s">
        <v>65</v>
      </c>
      <c r="C54" t="s">
        <v>68</v>
      </c>
      <c r="G54" s="7">
        <v>2.5</v>
      </c>
      <c r="H54" s="6">
        <f t="shared" si="0"/>
        <v>0</v>
      </c>
    </row>
    <row r="55" spans="1:8" hidden="1" x14ac:dyDescent="0.35">
      <c r="A55" t="s">
        <v>57</v>
      </c>
      <c r="B55" t="s">
        <v>66</v>
      </c>
      <c r="C55" t="s">
        <v>68</v>
      </c>
      <c r="G55" s="7">
        <v>2.5</v>
      </c>
      <c r="H55" s="6">
        <f t="shared" si="0"/>
        <v>0</v>
      </c>
    </row>
    <row r="56" spans="1:8" hidden="1" x14ac:dyDescent="0.35">
      <c r="A56" t="s">
        <v>57</v>
      </c>
      <c r="B56" t="s">
        <v>67</v>
      </c>
      <c r="C56" t="s">
        <v>68</v>
      </c>
      <c r="G56" s="7">
        <v>4</v>
      </c>
      <c r="H56" s="6">
        <f t="shared" si="0"/>
        <v>0</v>
      </c>
    </row>
    <row r="57" spans="1:8" hidden="1" x14ac:dyDescent="0.35">
      <c r="A57" t="s">
        <v>57</v>
      </c>
      <c r="B57" t="s">
        <v>70</v>
      </c>
      <c r="C57" t="s">
        <v>72</v>
      </c>
      <c r="G57" s="7">
        <v>3.45</v>
      </c>
      <c r="H57" s="6">
        <f t="shared" si="0"/>
        <v>0</v>
      </c>
    </row>
    <row r="58" spans="1:8" hidden="1" x14ac:dyDescent="0.35">
      <c r="A58" t="s">
        <v>57</v>
      </c>
      <c r="B58" t="s">
        <v>71</v>
      </c>
      <c r="C58" t="s">
        <v>72</v>
      </c>
      <c r="G58" s="7">
        <v>18.399999999999999</v>
      </c>
      <c r="H58" s="6">
        <f t="shared" si="0"/>
        <v>0</v>
      </c>
    </row>
    <row r="59" spans="1:8" hidden="1" x14ac:dyDescent="0.35">
      <c r="A59" t="s">
        <v>57</v>
      </c>
      <c r="B59" t="s">
        <v>73</v>
      </c>
      <c r="C59" t="s">
        <v>74</v>
      </c>
      <c r="G59" s="7">
        <v>7.5</v>
      </c>
      <c r="H59" s="6">
        <f t="shared" si="0"/>
        <v>0</v>
      </c>
    </row>
    <row r="60" spans="1:8" hidden="1" x14ac:dyDescent="0.35">
      <c r="A60" t="s">
        <v>57</v>
      </c>
      <c r="B60" t="s">
        <v>75</v>
      </c>
      <c r="C60" t="s">
        <v>76</v>
      </c>
      <c r="G60" s="7">
        <v>4.5</v>
      </c>
      <c r="H60" s="6">
        <f t="shared" si="0"/>
        <v>0</v>
      </c>
    </row>
  </sheetData>
  <autoFilter ref="A2:C60" xr:uid="{00000000-0009-0000-0000-000000000000}">
    <filterColumn colId="2">
      <filters>
        <filter val="nathan foods"/>
      </filters>
    </filterColumn>
  </autoFilter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B9"/>
  <sheetViews>
    <sheetView workbookViewId="0">
      <selection activeCell="F7" sqref="F7"/>
    </sheetView>
  </sheetViews>
  <sheetFormatPr baseColWidth="10" defaultRowHeight="14.5" x14ac:dyDescent="0.35"/>
  <cols>
    <col min="1" max="1" width="44.453125" bestFit="1" customWidth="1"/>
    <col min="2" max="2" width="34.81640625" bestFit="1" customWidth="1"/>
    <col min="3" max="3" width="5.81640625" bestFit="1" customWidth="1"/>
  </cols>
  <sheetData>
    <row r="5" spans="1:2" ht="18.5" x14ac:dyDescent="0.45">
      <c r="A5" s="9"/>
      <c r="B5" s="10" t="s">
        <v>54</v>
      </c>
    </row>
    <row r="6" spans="1:2" ht="18.5" x14ac:dyDescent="0.45">
      <c r="A6" s="9" t="s">
        <v>57</v>
      </c>
      <c r="B6" s="9"/>
    </row>
    <row r="7" spans="1:2" ht="18.5" x14ac:dyDescent="0.45">
      <c r="A7" s="9" t="s">
        <v>60</v>
      </c>
      <c r="B7" s="11"/>
    </row>
    <row r="8" spans="1:2" ht="18.5" x14ac:dyDescent="0.45">
      <c r="A8" s="9" t="s">
        <v>59</v>
      </c>
      <c r="B8" s="9"/>
    </row>
    <row r="9" spans="1:2" ht="18.5" x14ac:dyDescent="0.45">
      <c r="A9" s="9" t="s">
        <v>58</v>
      </c>
      <c r="B9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30'10'25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Italos restaurante</dc:creator>
  <cp:lastModifiedBy>Edwin Pilisi</cp:lastModifiedBy>
  <cp:lastPrinted>2025-10-31T15:22:48Z</cp:lastPrinted>
  <dcterms:created xsi:type="dcterms:W3CDTF">2024-02-29T20:25:15Z</dcterms:created>
  <dcterms:modified xsi:type="dcterms:W3CDTF">2025-11-01T16:14:32Z</dcterms:modified>
</cp:coreProperties>
</file>