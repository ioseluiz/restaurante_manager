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ALOS ADMINISTRACION\PRESUPUESTO NOVIEMBRE 2025 001\calculos de insumos\"/>
    </mc:Choice>
  </mc:AlternateContent>
  <xr:revisionPtr revIDLastSave="0" documentId="13_ncr:1_{43E18DB5-ABEB-42BC-8FE4-EBA201A0FEE1}" xr6:coauthVersionLast="47" xr6:coauthVersionMax="47" xr10:uidLastSave="{00000000-0000-0000-0000-000000000000}"/>
  <bookViews>
    <workbookView xWindow="-110" yWindow="-110" windowWidth="19420" windowHeight="12660" firstSheet="6" activeTab="11" xr2:uid="{00000000-000D-0000-FFFF-FFFF00000000}"/>
  </bookViews>
  <sheets>
    <sheet name="LOMO" sheetId="2" r:id="rId1"/>
    <sheet name="LENGUA" sheetId="3" r:id="rId2"/>
    <sheet name="FILETE DE PESCADO" sheetId="4" r:id="rId3"/>
    <sheet name="COSTILLA HORNO" sheetId="5" r:id="rId4"/>
    <sheet name="FILETE PECHUGA " sheetId="6" r:id="rId5"/>
    <sheet name="BISTEC PICADO" sheetId="7" r:id="rId6"/>
    <sheet name="CARNE GUISADA" sheetId="8" r:id="rId7"/>
    <sheet name="MONDONGO" sheetId="9" r:id="rId8"/>
    <sheet name="CORVINA" sheetId="10" r:id="rId9"/>
    <sheet name="BACALAO" sheetId="11" r:id="rId10"/>
    <sheet name="GUACHO DE RABITO" sheetId="12" r:id="rId11"/>
    <sheet name="PAVO 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6" l="1"/>
  <c r="G6" i="6"/>
  <c r="G7" i="6"/>
  <c r="G8" i="6"/>
  <c r="G9" i="6"/>
  <c r="G10" i="6"/>
  <c r="G4" i="6"/>
  <c r="H5" i="11"/>
  <c r="H6" i="11"/>
  <c r="H7" i="11"/>
  <c r="H8" i="11"/>
  <c r="H9" i="11"/>
  <c r="H10" i="11"/>
  <c r="H4" i="11"/>
  <c r="H6" i="10"/>
  <c r="H7" i="10"/>
  <c r="H8" i="10"/>
  <c r="H9" i="10"/>
  <c r="H10" i="10"/>
  <c r="H5" i="10"/>
  <c r="H4" i="10"/>
  <c r="G5" i="3"/>
  <c r="G6" i="3"/>
  <c r="G7" i="3"/>
  <c r="G8" i="3"/>
  <c r="G9" i="3"/>
  <c r="G10" i="3"/>
  <c r="G4" i="3"/>
  <c r="G5" i="2" l="1"/>
  <c r="G6" i="2"/>
  <c r="G7" i="2"/>
  <c r="G8" i="2"/>
  <c r="G9" i="2"/>
  <c r="G10" i="2"/>
  <c r="G4" i="2"/>
  <c r="G5" i="5" l="1"/>
  <c r="G6" i="5"/>
  <c r="G7" i="5"/>
  <c r="G8" i="5"/>
  <c r="G9" i="5"/>
  <c r="G10" i="5"/>
  <c r="G4" i="5"/>
  <c r="G5" i="4"/>
  <c r="G6" i="4"/>
  <c r="G7" i="4"/>
  <c r="G8" i="4"/>
  <c r="G9" i="4"/>
  <c r="G10" i="4"/>
  <c r="G4" i="4"/>
  <c r="H5" i="12" l="1"/>
  <c r="H6" i="12"/>
  <c r="H7" i="12"/>
  <c r="H8" i="12"/>
  <c r="H9" i="12"/>
  <c r="H10" i="12"/>
  <c r="H4" i="12"/>
  <c r="G5" i="9"/>
  <c r="G6" i="9"/>
  <c r="G7" i="9"/>
  <c r="G8" i="9"/>
  <c r="G9" i="9"/>
  <c r="G10" i="9"/>
  <c r="G4" i="9"/>
  <c r="G5" i="8"/>
  <c r="G6" i="8"/>
  <c r="G7" i="8"/>
  <c r="G8" i="8"/>
  <c r="G9" i="8"/>
  <c r="G10" i="8"/>
  <c r="G4" i="8"/>
  <c r="H10" i="13" l="1"/>
  <c r="I10" i="13" s="1"/>
  <c r="B14" i="13" s="1"/>
  <c r="C14" i="13" s="1"/>
  <c r="H9" i="13"/>
  <c r="I9" i="13" s="1"/>
  <c r="B12" i="13" s="1"/>
  <c r="C12" i="13" s="1"/>
  <c r="H8" i="13"/>
  <c r="I8" i="13" s="1"/>
  <c r="B10" i="13" s="1"/>
  <c r="C10" i="13" s="1"/>
  <c r="H7" i="13"/>
  <c r="I7" i="13" s="1"/>
  <c r="B8" i="13" s="1"/>
  <c r="C8" i="13" s="1"/>
  <c r="H6" i="13"/>
  <c r="I6" i="13" s="1"/>
  <c r="B6" i="13" s="1"/>
  <c r="C6" i="13" s="1"/>
  <c r="H5" i="13"/>
  <c r="I5" i="13" s="1"/>
  <c r="B4" i="13" s="1"/>
  <c r="C4" i="13" s="1"/>
  <c r="H4" i="13"/>
  <c r="I4" i="13" s="1"/>
  <c r="B16" i="13" s="1"/>
  <c r="C16" i="13" s="1"/>
  <c r="I10" i="12"/>
  <c r="B14" i="12" s="1"/>
  <c r="C14" i="12" s="1"/>
  <c r="I9" i="12"/>
  <c r="B12" i="12" s="1"/>
  <c r="C12" i="12" s="1"/>
  <c r="I8" i="12"/>
  <c r="B10" i="12" s="1"/>
  <c r="C10" i="12" s="1"/>
  <c r="I7" i="12"/>
  <c r="B8" i="12" s="1"/>
  <c r="C8" i="12" s="1"/>
  <c r="I6" i="12"/>
  <c r="B6" i="12" s="1"/>
  <c r="C6" i="12" s="1"/>
  <c r="I5" i="12"/>
  <c r="B4" i="12" s="1"/>
  <c r="C4" i="12" s="1"/>
  <c r="I4" i="12"/>
  <c r="B16" i="12" s="1"/>
  <c r="C16" i="12" s="1"/>
  <c r="I10" i="11"/>
  <c r="B14" i="11" s="1"/>
  <c r="C14" i="11" s="1"/>
  <c r="I9" i="11"/>
  <c r="B12" i="11" s="1"/>
  <c r="C12" i="11" s="1"/>
  <c r="I8" i="11"/>
  <c r="B10" i="11" s="1"/>
  <c r="C10" i="11" s="1"/>
  <c r="I7" i="11"/>
  <c r="B8" i="11" s="1"/>
  <c r="C8" i="11" s="1"/>
  <c r="I6" i="11"/>
  <c r="B6" i="11" s="1"/>
  <c r="C6" i="11" s="1"/>
  <c r="I5" i="11"/>
  <c r="B4" i="11" s="1"/>
  <c r="C4" i="11" s="1"/>
  <c r="I4" i="11"/>
  <c r="B16" i="11" s="1"/>
  <c r="C16" i="11" s="1"/>
  <c r="I10" i="10"/>
  <c r="B14" i="10" s="1"/>
  <c r="C14" i="10" s="1"/>
  <c r="I9" i="10"/>
  <c r="B12" i="10" s="1"/>
  <c r="C12" i="10" s="1"/>
  <c r="I8" i="10"/>
  <c r="B10" i="10" s="1"/>
  <c r="C10" i="10" s="1"/>
  <c r="I7" i="10"/>
  <c r="B8" i="10" s="1"/>
  <c r="C8" i="10" s="1"/>
  <c r="I6" i="10"/>
  <c r="B6" i="10" s="1"/>
  <c r="C6" i="10" s="1"/>
  <c r="I5" i="10"/>
  <c r="B4" i="10" s="1"/>
  <c r="C4" i="10" s="1"/>
  <c r="I4" i="10"/>
  <c r="B16" i="10" s="1"/>
  <c r="C16" i="10" s="1"/>
  <c r="H10" i="9"/>
  <c r="B14" i="9" s="1"/>
  <c r="C14" i="9" s="1"/>
  <c r="H9" i="9"/>
  <c r="B12" i="9" s="1"/>
  <c r="C12" i="9" s="1"/>
  <c r="H8" i="9"/>
  <c r="B10" i="9" s="1"/>
  <c r="C10" i="9" s="1"/>
  <c r="H7" i="9"/>
  <c r="B8" i="9" s="1"/>
  <c r="C8" i="9" s="1"/>
  <c r="H6" i="9"/>
  <c r="B6" i="9" s="1"/>
  <c r="C6" i="9" s="1"/>
  <c r="H5" i="9"/>
  <c r="B4" i="9" s="1"/>
  <c r="C4" i="9" s="1"/>
  <c r="H4" i="9"/>
  <c r="B16" i="9" s="1"/>
  <c r="C16" i="9" s="1"/>
  <c r="H10" i="8"/>
  <c r="B14" i="8" s="1"/>
  <c r="C14" i="8" s="1"/>
  <c r="H9" i="8"/>
  <c r="B12" i="8" s="1"/>
  <c r="C12" i="8" s="1"/>
  <c r="H8" i="8"/>
  <c r="B10" i="8" s="1"/>
  <c r="C10" i="8" s="1"/>
  <c r="H7" i="8"/>
  <c r="B8" i="8" s="1"/>
  <c r="C8" i="8" s="1"/>
  <c r="H6" i="8"/>
  <c r="B6" i="8" s="1"/>
  <c r="C6" i="8" s="1"/>
  <c r="H5" i="8"/>
  <c r="B4" i="8" s="1"/>
  <c r="C4" i="8" s="1"/>
  <c r="H4" i="8"/>
  <c r="B16" i="8" s="1"/>
  <c r="C16" i="8" s="1"/>
  <c r="G5" i="7"/>
  <c r="H5" i="7" s="1"/>
  <c r="B4" i="7" s="1"/>
  <c r="C4" i="7" s="1"/>
  <c r="G6" i="7"/>
  <c r="H6" i="7" s="1"/>
  <c r="B6" i="7" s="1"/>
  <c r="C6" i="7" s="1"/>
  <c r="G7" i="7"/>
  <c r="G8" i="7"/>
  <c r="G9" i="7"/>
  <c r="H9" i="7" s="1"/>
  <c r="B12" i="7" s="1"/>
  <c r="C12" i="7" s="1"/>
  <c r="G10" i="7"/>
  <c r="G4" i="7"/>
  <c r="H5" i="5"/>
  <c r="B4" i="5" s="1"/>
  <c r="C4" i="5" s="1"/>
  <c r="H7" i="5"/>
  <c r="B8" i="5" s="1"/>
  <c r="C8" i="5" s="1"/>
  <c r="H4" i="5"/>
  <c r="B16" i="5" s="1"/>
  <c r="C16" i="5" s="1"/>
  <c r="H8" i="5"/>
  <c r="B10" i="5" s="1"/>
  <c r="C10" i="5" s="1"/>
  <c r="H9" i="5"/>
  <c r="B12" i="5" s="1"/>
  <c r="C12" i="5" s="1"/>
  <c r="H10" i="5"/>
  <c r="B14" i="5" s="1"/>
  <c r="C14" i="5" s="1"/>
  <c r="H6" i="5"/>
  <c r="B6" i="5" s="1"/>
  <c r="C6" i="5" s="1"/>
  <c r="H10" i="4"/>
  <c r="B14" i="4" s="1"/>
  <c r="C14" i="4" s="1"/>
  <c r="H9" i="4"/>
  <c r="B12" i="4" s="1"/>
  <c r="C12" i="4" s="1"/>
  <c r="H8" i="4"/>
  <c r="B10" i="4" s="1"/>
  <c r="C10" i="4" s="1"/>
  <c r="H7" i="4"/>
  <c r="B8" i="4" s="1"/>
  <c r="C8" i="4" s="1"/>
  <c r="H6" i="4"/>
  <c r="B6" i="4" s="1"/>
  <c r="C6" i="4" s="1"/>
  <c r="H5" i="4"/>
  <c r="B4" i="4" s="1"/>
  <c r="H4" i="4"/>
  <c r="B16" i="4" s="1"/>
  <c r="C16" i="4" s="1"/>
  <c r="H10" i="3"/>
  <c r="B14" i="3" s="1"/>
  <c r="C14" i="3" s="1"/>
  <c r="H9" i="3"/>
  <c r="B12" i="3" s="1"/>
  <c r="C12" i="3" s="1"/>
  <c r="H8" i="3"/>
  <c r="B10" i="3" s="1"/>
  <c r="C10" i="3" s="1"/>
  <c r="H7" i="3"/>
  <c r="B8" i="3" s="1"/>
  <c r="C8" i="3" s="1"/>
  <c r="H6" i="3"/>
  <c r="B6" i="3" s="1"/>
  <c r="C6" i="3" s="1"/>
  <c r="H5" i="3"/>
  <c r="B4" i="3" s="1"/>
  <c r="C4" i="3" s="1"/>
  <c r="H4" i="3"/>
  <c r="B16" i="3" s="1"/>
  <c r="C16" i="3" s="1"/>
  <c r="C4" i="4" l="1"/>
  <c r="E16" i="4"/>
  <c r="H7" i="7"/>
  <c r="B8" i="7" s="1"/>
  <c r="C8" i="7" s="1"/>
  <c r="C18" i="13"/>
  <c r="C19" i="13" s="1"/>
  <c r="C20" i="13" s="1"/>
  <c r="C21" i="13" s="1"/>
  <c r="C18" i="12"/>
  <c r="C18" i="11"/>
  <c r="C18" i="10"/>
  <c r="C18" i="9"/>
  <c r="C19" i="9" s="1"/>
  <c r="C20" i="9" s="1"/>
  <c r="C18" i="8"/>
  <c r="C19" i="8" s="1"/>
  <c r="C20" i="8" s="1"/>
  <c r="H8" i="7"/>
  <c r="B10" i="7" s="1"/>
  <c r="C10" i="7" s="1"/>
  <c r="H10" i="7"/>
  <c r="B14" i="7" s="1"/>
  <c r="C14" i="7" s="1"/>
  <c r="H4" i="7"/>
  <c r="B16" i="7" s="1"/>
  <c r="C16" i="7" s="1"/>
  <c r="C18" i="5"/>
  <c r="C19" i="5" s="1"/>
  <c r="C18" i="4"/>
  <c r="C19" i="4" s="1"/>
  <c r="C18" i="3"/>
  <c r="H10" i="2"/>
  <c r="B14" i="2" s="1"/>
  <c r="C14" i="2" s="1"/>
  <c r="H9" i="2"/>
  <c r="B12" i="2" s="1"/>
  <c r="C12" i="2" s="1"/>
  <c r="H8" i="2"/>
  <c r="B10" i="2" s="1"/>
  <c r="C10" i="2" s="1"/>
  <c r="H7" i="2"/>
  <c r="B8" i="2" s="1"/>
  <c r="C8" i="2" s="1"/>
  <c r="H6" i="2"/>
  <c r="B6" i="2" s="1"/>
  <c r="C6" i="2" s="1"/>
  <c r="H5" i="2"/>
  <c r="B4" i="2" s="1"/>
  <c r="C4" i="2" s="1"/>
  <c r="H4" i="2"/>
  <c r="B16" i="2" s="1"/>
  <c r="C16" i="2" s="1"/>
  <c r="C21" i="8" l="1"/>
  <c r="E20" i="8"/>
  <c r="C21" i="9"/>
  <c r="E20" i="9"/>
  <c r="C19" i="11"/>
  <c r="C20" i="11" s="1"/>
  <c r="C19" i="10"/>
  <c r="C20" i="10" s="1"/>
  <c r="C21" i="10" s="1"/>
  <c r="C18" i="7"/>
  <c r="C19" i="7" s="1"/>
  <c r="C20" i="7" s="1"/>
  <c r="C20" i="4"/>
  <c r="C21" i="4" s="1"/>
  <c r="E21" i="4" s="1"/>
  <c r="C19" i="3"/>
  <c r="C20" i="3" s="1"/>
  <c r="C19" i="12"/>
  <c r="C20" i="5"/>
  <c r="C18" i="2"/>
  <c r="C19" i="2" s="1"/>
  <c r="C21" i="3" l="1"/>
  <c r="E20" i="3"/>
  <c r="C21" i="11"/>
  <c r="E20" i="11"/>
  <c r="C21" i="5"/>
  <c r="E21" i="5" s="1"/>
  <c r="E20" i="5"/>
  <c r="C21" i="7"/>
  <c r="E20" i="7"/>
  <c r="C22" i="10"/>
  <c r="E21" i="10"/>
  <c r="C21" i="12"/>
  <c r="C20" i="12"/>
  <c r="C20" i="2"/>
  <c r="C21" i="2" l="1"/>
  <c r="E20" i="2"/>
  <c r="C22" i="12"/>
  <c r="E21" i="12"/>
  <c r="H4" i="6" l="1"/>
  <c r="B16" i="6" s="1"/>
  <c r="C16" i="6" s="1"/>
  <c r="H7" i="6" l="1"/>
  <c r="B8" i="6" s="1"/>
  <c r="C8" i="6" s="1"/>
  <c r="H5" i="6"/>
  <c r="B4" i="6" s="1"/>
  <c r="C4" i="6" s="1"/>
  <c r="H10" i="6"/>
  <c r="B14" i="6" s="1"/>
  <c r="C14" i="6" s="1"/>
  <c r="H6" i="6"/>
  <c r="B6" i="6" s="1"/>
  <c r="C6" i="6" s="1"/>
  <c r="H9" i="6"/>
  <c r="B12" i="6" s="1"/>
  <c r="C12" i="6" s="1"/>
  <c r="H8" i="6"/>
  <c r="B10" i="6" s="1"/>
  <c r="C10" i="6" s="1"/>
  <c r="C18" i="6" l="1"/>
  <c r="C19" i="6" s="1"/>
  <c r="C20" i="6" s="1"/>
  <c r="C21" i="6" s="1"/>
  <c r="C22" i="6" s="1"/>
  <c r="E21" i="6" l="1"/>
</calcChain>
</file>

<file path=xl/sharedStrings.xml><?xml version="1.0" encoding="utf-8"?>
<sst xmlns="http://schemas.openxmlformats.org/spreadsheetml/2006/main" count="284" uniqueCount="42">
  <si>
    <t>ORDENES</t>
  </si>
  <si>
    <t>MENSUAL</t>
  </si>
  <si>
    <t xml:space="preserve">LUNES </t>
  </si>
  <si>
    <t xml:space="preserve">MARTES </t>
  </si>
  <si>
    <t xml:space="preserve">MIERCOLES </t>
  </si>
  <si>
    <t xml:space="preserve">JUEVES </t>
  </si>
  <si>
    <t xml:space="preserve">VIERNES </t>
  </si>
  <si>
    <t xml:space="preserve">SABADO </t>
  </si>
  <si>
    <t xml:space="preserve">DOMINGO </t>
  </si>
  <si>
    <t>TOTAL</t>
  </si>
  <si>
    <t>TOTAL X SERVIDA</t>
  </si>
  <si>
    <t>G</t>
  </si>
  <si>
    <t>KG</t>
  </si>
  <si>
    <t>TOTAL COSTO</t>
  </si>
  <si>
    <t xml:space="preserve">LOMO PRODUCCION SEMANAL </t>
  </si>
  <si>
    <t xml:space="preserve">LENGUA PRODUCCION SEMANAL </t>
  </si>
  <si>
    <t xml:space="preserve">F PESCADO PRODUCCION SEMANAL </t>
  </si>
  <si>
    <t xml:space="preserve">C HORNO PRODUCCION SEMANAL </t>
  </si>
  <si>
    <t>AJILLO</t>
  </si>
  <si>
    <t>PARME</t>
  </si>
  <si>
    <t>APANADA</t>
  </si>
  <si>
    <t xml:space="preserve">BISTEC PICADO PRODUCCION SEMANAL </t>
  </si>
  <si>
    <t xml:space="preserve">C GUISADA PRODUCCION SEMANAL </t>
  </si>
  <si>
    <t xml:space="preserve">MONDONGO PRODUCCION SEMANAL </t>
  </si>
  <si>
    <t xml:space="preserve">CORVINA PRODUCCION SEMANAL </t>
  </si>
  <si>
    <t>DOMINGO</t>
  </si>
  <si>
    <t>LUNES</t>
  </si>
  <si>
    <t>MARTES</t>
  </si>
  <si>
    <t>MIÉRCOLES</t>
  </si>
  <si>
    <t>JUEVES</t>
  </si>
  <si>
    <t>VIERNES</t>
  </si>
  <si>
    <t>SÁBADO</t>
  </si>
  <si>
    <t xml:space="preserve">PAVO PRODUCCION SEMANAL </t>
  </si>
  <si>
    <t xml:space="preserve">precio x kg </t>
  </si>
  <si>
    <t>lb</t>
  </si>
  <si>
    <t>precio x lb</t>
  </si>
  <si>
    <t xml:space="preserve">precio x lb </t>
  </si>
  <si>
    <t>https://www.pricesmart.com/site/pa/es/pagina-producto/757062</t>
  </si>
  <si>
    <t>rabitos</t>
  </si>
  <si>
    <t>paquetes</t>
  </si>
  <si>
    <t>https://www.pricesmart.com/site/pa/es/pagina-producto/303609</t>
  </si>
  <si>
    <t>24/02/24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</si>
</sst>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B/.&quot;* #,##0.00_-;\-&quot;B/.&quot;* #,##0.00_-;_-&quot;B/.&quot;* &quot;-&quot;??_-;_-@_-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vertical="center" wrapText="1" shrinkToFit="1" readingOrder="1"/>
    </xf>
    <xf numFmtId="2" fontId="4" fillId="0" borderId="4" xfId="0" applyNumberFormat="1" applyFont="1" applyBorder="1" applyAlignment="1">
      <alignment vertical="center" wrapText="1" shrinkToFit="1" readingOrder="1"/>
    </xf>
    <xf numFmtId="2" fontId="4" fillId="0" borderId="5" xfId="0" applyNumberFormat="1" applyFont="1" applyBorder="1" applyAlignment="1">
      <alignment vertical="center" wrapText="1" shrinkToFit="1" readingOrder="1"/>
    </xf>
    <xf numFmtId="2" fontId="4" fillId="0" borderId="0" xfId="0" applyNumberFormat="1" applyFont="1" applyAlignment="1">
      <alignment vertical="center" wrapText="1" shrinkToFit="1" readingOrder="1"/>
    </xf>
    <xf numFmtId="164" fontId="0" fillId="0" borderId="3" xfId="0" applyNumberFormat="1" applyBorder="1"/>
    <xf numFmtId="2" fontId="4" fillId="0" borderId="6" xfId="0" applyNumberFormat="1" applyFont="1" applyBorder="1" applyAlignment="1">
      <alignment vertical="center" wrapText="1" shrinkToFit="1" readingOrder="1"/>
    </xf>
    <xf numFmtId="2" fontId="4" fillId="0" borderId="7" xfId="0" applyNumberFormat="1" applyFont="1" applyBorder="1" applyAlignment="1">
      <alignment vertical="center" wrapText="1" shrinkToFit="1" readingOrder="1"/>
    </xf>
    <xf numFmtId="1" fontId="0" fillId="0" borderId="0" xfId="0" applyNumberFormat="1"/>
    <xf numFmtId="2" fontId="3" fillId="0" borderId="3" xfId="0" applyNumberFormat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2" fontId="0" fillId="0" borderId="0" xfId="0" applyNumberFormat="1"/>
    <xf numFmtId="44" fontId="2" fillId="0" borderId="2" xfId="2" applyFont="1" applyBorder="1" applyAlignment="1">
      <alignment horizontal="center"/>
    </xf>
    <xf numFmtId="44" fontId="0" fillId="0" borderId="0" xfId="0" applyNumberFormat="1"/>
    <xf numFmtId="14" fontId="0" fillId="0" borderId="0" xfId="0" applyNumberFormat="1" applyAlignment="1">
      <alignment horizontal="center"/>
    </xf>
  </cellXfs>
  <cellStyles count="3">
    <cellStyle name="Moneda" xfId="2" builtinId="4"/>
    <cellStyle name="Moned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opLeftCell="A4" workbookViewId="0">
      <selection activeCell="G17" sqref="G17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14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4.9531999999999998</v>
      </c>
      <c r="C4" s="9">
        <f>B4*4</f>
        <v>19.812799999999999</v>
      </c>
      <c r="E4" t="s">
        <v>25</v>
      </c>
      <c r="F4" s="10">
        <v>9.09</v>
      </c>
      <c r="G4" s="11">
        <f>F4*16%</f>
        <v>1.4543999999999999</v>
      </c>
      <c r="H4" s="12">
        <f>F4+G4</f>
        <v>10.5444</v>
      </c>
      <c r="J4" s="13"/>
      <c r="K4" s="13"/>
    </row>
    <row r="5" spans="1:11" ht="21" x14ac:dyDescent="0.5">
      <c r="A5" s="4"/>
      <c r="B5" s="5"/>
      <c r="C5" s="9"/>
      <c r="E5" t="s">
        <v>26</v>
      </c>
      <c r="F5" s="14">
        <v>4.2699999999999996</v>
      </c>
      <c r="G5" s="11">
        <f t="shared" ref="G5:G10" si="0">F5*16%</f>
        <v>0.68319999999999992</v>
      </c>
      <c r="H5" s="15">
        <f t="shared" ref="H5:H10" si="1">F5+G5</f>
        <v>4.9531999999999998</v>
      </c>
    </row>
    <row r="6" spans="1:11" ht="21" x14ac:dyDescent="0.5">
      <c r="A6" s="4" t="s">
        <v>3</v>
      </c>
      <c r="B6" s="8">
        <f>H6</f>
        <v>6.7859999999999996</v>
      </c>
      <c r="C6" s="9">
        <f>B6*4</f>
        <v>27.143999999999998</v>
      </c>
      <c r="E6" t="s">
        <v>27</v>
      </c>
      <c r="F6" s="14">
        <v>5.85</v>
      </c>
      <c r="G6" s="11">
        <f t="shared" si="0"/>
        <v>0.93599999999999994</v>
      </c>
      <c r="H6" s="15">
        <f t="shared" si="1"/>
        <v>6.7859999999999996</v>
      </c>
    </row>
    <row r="7" spans="1:11" ht="21" x14ac:dyDescent="0.5">
      <c r="A7" s="4"/>
      <c r="B7" s="5"/>
      <c r="C7" s="9"/>
      <c r="E7" t="s">
        <v>28</v>
      </c>
      <c r="F7" s="14">
        <v>7.69</v>
      </c>
      <c r="G7" s="11">
        <f t="shared" si="0"/>
        <v>1.2304000000000002</v>
      </c>
      <c r="H7" s="15">
        <f t="shared" si="1"/>
        <v>8.9204000000000008</v>
      </c>
    </row>
    <row r="8" spans="1:11" ht="21" x14ac:dyDescent="0.5">
      <c r="A8" s="4" t="s">
        <v>4</v>
      </c>
      <c r="B8" s="8">
        <f>H7</f>
        <v>8.9204000000000008</v>
      </c>
      <c r="C8" s="9">
        <f>B8*4</f>
        <v>35.681600000000003</v>
      </c>
      <c r="E8" t="s">
        <v>29</v>
      </c>
      <c r="F8" s="14">
        <v>7.25</v>
      </c>
      <c r="G8" s="11">
        <f t="shared" si="0"/>
        <v>1.1599999999999999</v>
      </c>
      <c r="H8" s="15">
        <f t="shared" si="1"/>
        <v>8.41</v>
      </c>
    </row>
    <row r="9" spans="1:11" ht="21" x14ac:dyDescent="0.5">
      <c r="A9" s="4"/>
      <c r="B9" s="5"/>
      <c r="C9" s="9"/>
      <c r="E9" t="s">
        <v>30</v>
      </c>
      <c r="F9" s="14">
        <v>2.4500000000000002</v>
      </c>
      <c r="G9" s="11">
        <f t="shared" si="0"/>
        <v>0.39200000000000002</v>
      </c>
      <c r="H9" s="15">
        <f t="shared" si="1"/>
        <v>2.8420000000000001</v>
      </c>
    </row>
    <row r="10" spans="1:11" ht="21" x14ac:dyDescent="0.5">
      <c r="A10" s="4" t="s">
        <v>5</v>
      </c>
      <c r="B10" s="8">
        <f>H8</f>
        <v>8.41</v>
      </c>
      <c r="C10" s="9">
        <f>B10*4</f>
        <v>33.64</v>
      </c>
      <c r="E10" t="s">
        <v>31</v>
      </c>
      <c r="F10" s="14">
        <v>2.61</v>
      </c>
      <c r="G10" s="11">
        <f t="shared" si="0"/>
        <v>0.41759999999999997</v>
      </c>
      <c r="H10" s="16">
        <f t="shared" si="1"/>
        <v>3.0275999999999996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2.8420000000000001</v>
      </c>
      <c r="C12" s="9">
        <f>B12*4</f>
        <v>11.368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3.0275999999999996</v>
      </c>
      <c r="C14" s="9">
        <f>B14*4</f>
        <v>12.110399999999998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10.5444</v>
      </c>
      <c r="C16" s="9">
        <f>B16*4</f>
        <v>42.177599999999998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181.93439999999998</v>
      </c>
    </row>
    <row r="19" spans="1:5" ht="21" x14ac:dyDescent="0.5">
      <c r="A19" s="4" t="s">
        <v>10</v>
      </c>
      <c r="B19" s="8"/>
      <c r="C19" s="9">
        <f>C18*200</f>
        <v>36386.879999999997</v>
      </c>
      <c r="D19" t="s">
        <v>11</v>
      </c>
    </row>
    <row r="20" spans="1:5" ht="21" x14ac:dyDescent="0.5">
      <c r="A20" s="4" t="s">
        <v>33</v>
      </c>
      <c r="B20" s="21">
        <v>6.5</v>
      </c>
      <c r="C20" s="18">
        <f>C19/1000</f>
        <v>36.386879999999998</v>
      </c>
      <c r="D20" t="s">
        <v>12</v>
      </c>
      <c r="E20">
        <f>C20/4</f>
        <v>9.0967199999999995</v>
      </c>
    </row>
    <row r="21" spans="1:5" ht="21" x14ac:dyDescent="0.5">
      <c r="A21" s="4" t="s">
        <v>13</v>
      </c>
      <c r="B21" s="8"/>
      <c r="C21" s="19">
        <f>C20*B20</f>
        <v>236.51471999999998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opLeftCell="A4" workbookViewId="0">
      <selection activeCell="E16" sqref="E16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15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0.32480000000000003</v>
      </c>
      <c r="C4" s="9">
        <f>B4*4</f>
        <v>1.2992000000000001</v>
      </c>
      <c r="E4" t="s">
        <v>25</v>
      </c>
      <c r="F4">
        <v>0.28000000000000003</v>
      </c>
      <c r="G4" s="11">
        <f>F4*16%</f>
        <v>4.4800000000000006E-2</v>
      </c>
      <c r="H4" s="12">
        <f>F4+G4</f>
        <v>0.32480000000000003</v>
      </c>
      <c r="J4" s="13"/>
      <c r="K4" s="13"/>
    </row>
    <row r="5" spans="1:11" ht="21" x14ac:dyDescent="0.5">
      <c r="A5" s="4"/>
      <c r="B5" s="5"/>
      <c r="C5" s="9"/>
      <c r="E5" t="s">
        <v>26</v>
      </c>
      <c r="F5">
        <v>0.28000000000000003</v>
      </c>
      <c r="G5" s="11">
        <f t="shared" ref="G5:G10" si="0">F5*16%</f>
        <v>4.4800000000000006E-2</v>
      </c>
      <c r="H5" s="15">
        <f t="shared" ref="H5:H8" si="1">F5+G5</f>
        <v>0.32480000000000003</v>
      </c>
    </row>
    <row r="6" spans="1:11" ht="21" x14ac:dyDescent="0.5">
      <c r="A6" s="4" t="s">
        <v>3</v>
      </c>
      <c r="B6" s="8">
        <f>H6</f>
        <v>11.623199999999999</v>
      </c>
      <c r="C6" s="9">
        <f>B6*4</f>
        <v>46.492799999999995</v>
      </c>
      <c r="E6" t="s">
        <v>27</v>
      </c>
      <c r="F6">
        <v>10.02</v>
      </c>
      <c r="G6" s="11">
        <f t="shared" si="0"/>
        <v>1.6032</v>
      </c>
      <c r="H6" s="15">
        <f t="shared" si="1"/>
        <v>11.623199999999999</v>
      </c>
    </row>
    <row r="7" spans="1:11" ht="21" x14ac:dyDescent="0.5">
      <c r="A7" s="4"/>
      <c r="B7" s="5"/>
      <c r="C7" s="9"/>
      <c r="E7" t="s">
        <v>28</v>
      </c>
      <c r="F7">
        <v>0.23</v>
      </c>
      <c r="G7" s="11">
        <f t="shared" si="0"/>
        <v>3.6799999999999999E-2</v>
      </c>
      <c r="H7" s="15">
        <f t="shared" si="1"/>
        <v>0.26680000000000004</v>
      </c>
    </row>
    <row r="8" spans="1:11" ht="21" x14ac:dyDescent="0.5">
      <c r="A8" s="4" t="s">
        <v>4</v>
      </c>
      <c r="B8" s="8">
        <f>H7</f>
        <v>0.26680000000000004</v>
      </c>
      <c r="C8" s="9">
        <f>B8*4</f>
        <v>1.0672000000000001</v>
      </c>
      <c r="E8" t="s">
        <v>29</v>
      </c>
      <c r="F8">
        <v>0.19</v>
      </c>
      <c r="G8" s="11">
        <f t="shared" si="0"/>
        <v>3.04E-2</v>
      </c>
      <c r="H8" s="15">
        <f t="shared" si="1"/>
        <v>0.22040000000000001</v>
      </c>
    </row>
    <row r="9" spans="1:11" ht="21" x14ac:dyDescent="0.5">
      <c r="A9" s="4"/>
      <c r="B9" s="5"/>
      <c r="C9" s="9"/>
      <c r="E9" t="s">
        <v>30</v>
      </c>
      <c r="F9">
        <v>0.05</v>
      </c>
      <c r="G9" s="11">
        <f t="shared" si="0"/>
        <v>8.0000000000000002E-3</v>
      </c>
      <c r="H9" s="15">
        <f>F9+G9</f>
        <v>5.8000000000000003E-2</v>
      </c>
    </row>
    <row r="10" spans="1:11" ht="21" x14ac:dyDescent="0.5">
      <c r="A10" s="4" t="s">
        <v>5</v>
      </c>
      <c r="B10" s="8">
        <f>H8</f>
        <v>0.22040000000000001</v>
      </c>
      <c r="C10" s="9">
        <f>B10*4</f>
        <v>0.88160000000000005</v>
      </c>
      <c r="E10" t="s">
        <v>31</v>
      </c>
      <c r="F10">
        <v>15.1</v>
      </c>
      <c r="G10" s="11">
        <f t="shared" si="0"/>
        <v>2.4159999999999999</v>
      </c>
      <c r="H10" s="16">
        <f>F10+G10</f>
        <v>17.515999999999998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5.8000000000000003E-2</v>
      </c>
      <c r="C12" s="9">
        <f>B12*4</f>
        <v>0.23200000000000001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17.515999999999998</v>
      </c>
      <c r="C14" s="9">
        <f>B14*4</f>
        <v>70.063999999999993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0.32480000000000003</v>
      </c>
      <c r="C16" s="9">
        <f>B16*4</f>
        <v>1.2992000000000001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121.33599999999998</v>
      </c>
    </row>
    <row r="19" spans="1:5" ht="21" x14ac:dyDescent="0.5">
      <c r="A19" s="4" t="s">
        <v>10</v>
      </c>
      <c r="B19" s="8"/>
      <c r="C19" s="9">
        <f>C18*180</f>
        <v>21840.479999999996</v>
      </c>
      <c r="D19" t="s">
        <v>11</v>
      </c>
    </row>
    <row r="20" spans="1:5" ht="21" x14ac:dyDescent="0.5">
      <c r="A20" s="4" t="s">
        <v>33</v>
      </c>
      <c r="B20" s="21">
        <v>8.4700000000000006</v>
      </c>
      <c r="C20" s="18">
        <f>C19/1000</f>
        <v>21.840479999999996</v>
      </c>
      <c r="D20" t="s">
        <v>12</v>
      </c>
      <c r="E20">
        <f>C20/4</f>
        <v>5.460119999999999</v>
      </c>
    </row>
    <row r="21" spans="1:5" ht="21" x14ac:dyDescent="0.5">
      <c r="A21" s="4" t="s">
        <v>13</v>
      </c>
      <c r="B21" s="8"/>
      <c r="C21" s="19">
        <f>C20*B20</f>
        <v>184.98886559999997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opLeftCell="A10" workbookViewId="0">
      <selection activeCell="C21" sqref="C21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16</v>
      </c>
      <c r="C2" s="6"/>
      <c r="D2" s="23">
        <v>45327</v>
      </c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11.132</v>
      </c>
      <c r="C4" s="9">
        <f>B4*4</f>
        <v>44.527999999999999</v>
      </c>
      <c r="E4" t="s">
        <v>25</v>
      </c>
      <c r="F4">
        <v>12.1</v>
      </c>
      <c r="G4" s="11">
        <f>F4*10%</f>
        <v>1.21</v>
      </c>
      <c r="H4" s="12">
        <f>F4+G4</f>
        <v>13.309999999999999</v>
      </c>
      <c r="J4" s="13"/>
      <c r="K4" s="13"/>
    </row>
    <row r="5" spans="1:11" ht="21" x14ac:dyDescent="0.5">
      <c r="A5" s="4"/>
      <c r="B5" s="5"/>
      <c r="C5" s="9"/>
      <c r="E5" t="s">
        <v>26</v>
      </c>
      <c r="F5">
        <v>10.119999999999999</v>
      </c>
      <c r="G5" s="11">
        <f t="shared" ref="G5:G10" si="0">F5*10%</f>
        <v>1.012</v>
      </c>
      <c r="H5" s="15">
        <f t="shared" ref="H5:H10" si="1">F5+G5</f>
        <v>11.132</v>
      </c>
    </row>
    <row r="6" spans="1:11" ht="21" x14ac:dyDescent="0.5">
      <c r="A6" s="4" t="s">
        <v>3</v>
      </c>
      <c r="B6" s="8">
        <f>H6</f>
        <v>11.517000000000001</v>
      </c>
      <c r="C6" s="9">
        <f>B6*4</f>
        <v>46.068000000000005</v>
      </c>
      <c r="E6" t="s">
        <v>27</v>
      </c>
      <c r="F6">
        <v>10.47</v>
      </c>
      <c r="G6" s="11">
        <f t="shared" si="0"/>
        <v>1.0470000000000002</v>
      </c>
      <c r="H6" s="15">
        <f t="shared" si="1"/>
        <v>11.517000000000001</v>
      </c>
    </row>
    <row r="7" spans="1:11" ht="21" x14ac:dyDescent="0.5">
      <c r="A7" s="4"/>
      <c r="B7" s="5"/>
      <c r="C7" s="9"/>
      <c r="E7" t="s">
        <v>28</v>
      </c>
      <c r="F7">
        <v>10.63</v>
      </c>
      <c r="G7" s="11">
        <f t="shared" si="0"/>
        <v>1.0630000000000002</v>
      </c>
      <c r="H7" s="15">
        <f t="shared" si="1"/>
        <v>11.693000000000001</v>
      </c>
    </row>
    <row r="8" spans="1:11" ht="21" x14ac:dyDescent="0.5">
      <c r="A8" s="4" t="s">
        <v>4</v>
      </c>
      <c r="B8" s="8">
        <f>H7</f>
        <v>11.693000000000001</v>
      </c>
      <c r="C8" s="9">
        <f>B8*4</f>
        <v>46.772000000000006</v>
      </c>
      <c r="E8" t="s">
        <v>29</v>
      </c>
      <c r="F8">
        <v>11.49</v>
      </c>
      <c r="G8" s="11">
        <f t="shared" si="0"/>
        <v>1.149</v>
      </c>
      <c r="H8" s="15">
        <f t="shared" si="1"/>
        <v>12.638999999999999</v>
      </c>
    </row>
    <row r="9" spans="1:11" ht="21" x14ac:dyDescent="0.5">
      <c r="A9" s="4"/>
      <c r="B9" s="5"/>
      <c r="C9" s="9"/>
      <c r="E9" t="s">
        <v>30</v>
      </c>
      <c r="F9">
        <v>17.32</v>
      </c>
      <c r="G9" s="11">
        <f t="shared" si="0"/>
        <v>1.7320000000000002</v>
      </c>
      <c r="H9" s="15">
        <f t="shared" si="1"/>
        <v>19.052</v>
      </c>
    </row>
    <row r="10" spans="1:11" ht="21" x14ac:dyDescent="0.5">
      <c r="A10" s="4" t="s">
        <v>5</v>
      </c>
      <c r="B10" s="8">
        <f>H8</f>
        <v>12.638999999999999</v>
      </c>
      <c r="C10" s="9">
        <f>B10*4</f>
        <v>50.555999999999997</v>
      </c>
      <c r="E10" t="s">
        <v>31</v>
      </c>
      <c r="F10">
        <v>12.66</v>
      </c>
      <c r="G10" s="11">
        <f t="shared" si="0"/>
        <v>1.266</v>
      </c>
      <c r="H10" s="16">
        <f t="shared" si="1"/>
        <v>13.926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19.052</v>
      </c>
      <c r="C12" s="9">
        <f>B12*4</f>
        <v>76.207999999999998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13.926</v>
      </c>
      <c r="C14" s="9">
        <f>B14*4</f>
        <v>55.704000000000001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13.309999999999999</v>
      </c>
      <c r="C16" s="9">
        <f>B16*4</f>
        <v>53.239999999999995</v>
      </c>
      <c r="E16" s="17">
        <f>SUM(B4:B16)</f>
        <v>93.268999999999991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373.07599999999996</v>
      </c>
    </row>
    <row r="19" spans="1:5" ht="21" x14ac:dyDescent="0.5">
      <c r="A19" s="4" t="s">
        <v>10</v>
      </c>
      <c r="B19" s="8"/>
      <c r="C19" s="9">
        <f>C18*230</f>
        <v>85807.48</v>
      </c>
      <c r="D19" t="s">
        <v>11</v>
      </c>
    </row>
    <row r="20" spans="1:5" ht="21" x14ac:dyDescent="0.5">
      <c r="A20" s="4" t="s">
        <v>33</v>
      </c>
      <c r="B20" s="21">
        <v>3.3</v>
      </c>
      <c r="C20" s="18">
        <f>C19/1000</f>
        <v>85.807479999999998</v>
      </c>
      <c r="D20" t="s">
        <v>12</v>
      </c>
    </row>
    <row r="21" spans="1:5" ht="21" x14ac:dyDescent="0.5">
      <c r="A21" s="4" t="s">
        <v>13</v>
      </c>
      <c r="B21" s="8"/>
      <c r="C21" s="19">
        <f>C20*B20</f>
        <v>283.16468399999997</v>
      </c>
      <c r="E21" s="22">
        <f>C21/4</f>
        <v>70.791170999999991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topLeftCell="A7" workbookViewId="0">
      <selection activeCell="G14" sqref="G14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17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9.3610000000000007</v>
      </c>
      <c r="C4" s="9">
        <f>B4*4</f>
        <v>37.444000000000003</v>
      </c>
      <c r="E4" t="s">
        <v>25</v>
      </c>
      <c r="F4">
        <v>5.8</v>
      </c>
      <c r="G4" s="11">
        <f>F4*15%</f>
        <v>0.87</v>
      </c>
      <c r="H4" s="12">
        <f>F4+G4</f>
        <v>6.67</v>
      </c>
      <c r="J4" s="13"/>
      <c r="K4" s="13"/>
    </row>
    <row r="5" spans="1:11" ht="21" x14ac:dyDescent="0.5">
      <c r="A5" s="4"/>
      <c r="B5" s="5"/>
      <c r="C5" s="9"/>
      <c r="E5" t="s">
        <v>26</v>
      </c>
      <c r="F5">
        <v>8.14</v>
      </c>
      <c r="G5" s="11">
        <f t="shared" ref="G5:G10" si="0">F5*15%</f>
        <v>1.2210000000000001</v>
      </c>
      <c r="H5" s="15">
        <f t="shared" ref="H5:H10" si="1">F5+G5</f>
        <v>9.3610000000000007</v>
      </c>
    </row>
    <row r="6" spans="1:11" ht="21" x14ac:dyDescent="0.5">
      <c r="A6" s="4" t="s">
        <v>3</v>
      </c>
      <c r="B6" s="8">
        <f>H6</f>
        <v>1.0465</v>
      </c>
      <c r="C6" s="9">
        <f>B6*4</f>
        <v>4.1859999999999999</v>
      </c>
      <c r="E6" t="s">
        <v>27</v>
      </c>
      <c r="F6">
        <v>0.91</v>
      </c>
      <c r="G6" s="11">
        <f t="shared" si="0"/>
        <v>0.13650000000000001</v>
      </c>
      <c r="H6" s="15">
        <f t="shared" si="1"/>
        <v>1.0465</v>
      </c>
    </row>
    <row r="7" spans="1:11" ht="21" x14ac:dyDescent="0.5">
      <c r="A7" s="4"/>
      <c r="B7" s="5"/>
      <c r="C7" s="9"/>
      <c r="E7" t="s">
        <v>28</v>
      </c>
      <c r="F7">
        <v>7.3</v>
      </c>
      <c r="G7" s="11">
        <f t="shared" si="0"/>
        <v>1.095</v>
      </c>
      <c r="H7" s="15">
        <f t="shared" si="1"/>
        <v>8.3949999999999996</v>
      </c>
    </row>
    <row r="8" spans="1:11" ht="21" x14ac:dyDescent="0.5">
      <c r="A8" s="4" t="s">
        <v>4</v>
      </c>
      <c r="B8" s="8">
        <f>H7</f>
        <v>8.3949999999999996</v>
      </c>
      <c r="C8" s="9">
        <f>B8*4</f>
        <v>33.58</v>
      </c>
      <c r="E8" t="s">
        <v>29</v>
      </c>
      <c r="F8">
        <v>8.39</v>
      </c>
      <c r="G8" s="11">
        <f t="shared" si="0"/>
        <v>1.2585</v>
      </c>
      <c r="H8" s="15">
        <f t="shared" si="1"/>
        <v>9.6485000000000003</v>
      </c>
    </row>
    <row r="9" spans="1:11" ht="21" x14ac:dyDescent="0.5">
      <c r="A9" s="4"/>
      <c r="B9" s="5"/>
      <c r="C9" s="9"/>
      <c r="E9" t="s">
        <v>30</v>
      </c>
      <c r="F9">
        <v>2.8</v>
      </c>
      <c r="G9" s="11">
        <f t="shared" si="0"/>
        <v>0.42</v>
      </c>
      <c r="H9" s="15">
        <f t="shared" si="1"/>
        <v>3.2199999999999998</v>
      </c>
    </row>
    <row r="10" spans="1:11" ht="21" x14ac:dyDescent="0.5">
      <c r="A10" s="4" t="s">
        <v>5</v>
      </c>
      <c r="B10" s="8">
        <f>H8</f>
        <v>9.6485000000000003</v>
      </c>
      <c r="C10" s="9">
        <f>B10*4</f>
        <v>38.594000000000001</v>
      </c>
      <c r="E10" t="s">
        <v>31</v>
      </c>
      <c r="F10">
        <v>16.95</v>
      </c>
      <c r="G10" s="11">
        <f t="shared" si="0"/>
        <v>2.5425</v>
      </c>
      <c r="H10" s="16">
        <f t="shared" si="1"/>
        <v>19.4925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3.2199999999999998</v>
      </c>
      <c r="C12" s="9">
        <f>B12*4</f>
        <v>12.879999999999999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19.4925</v>
      </c>
      <c r="C14" s="9">
        <f>B14*4</f>
        <v>77.97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6.67</v>
      </c>
      <c r="C16" s="9">
        <f>B16*4</f>
        <v>26.68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231.334</v>
      </c>
    </row>
    <row r="19" spans="1:5" ht="21" x14ac:dyDescent="0.5">
      <c r="A19" s="4" t="s">
        <v>10</v>
      </c>
      <c r="B19" s="8">
        <v>260</v>
      </c>
      <c r="C19" s="9">
        <f>C18*B19</f>
        <v>60146.840000000004</v>
      </c>
      <c r="D19" t="s">
        <v>11</v>
      </c>
    </row>
    <row r="20" spans="1:5" ht="21" x14ac:dyDescent="0.5">
      <c r="A20" s="4" t="s">
        <v>33</v>
      </c>
      <c r="B20" s="21">
        <v>6.49</v>
      </c>
      <c r="C20" s="18">
        <f>C19/1000</f>
        <v>60.146840000000005</v>
      </c>
      <c r="D20" t="s">
        <v>12</v>
      </c>
      <c r="E20">
        <f>C20/4</f>
        <v>15.036710000000001</v>
      </c>
    </row>
    <row r="21" spans="1:5" ht="21" x14ac:dyDescent="0.5">
      <c r="A21" s="4" t="s">
        <v>13</v>
      </c>
      <c r="B21" s="8"/>
      <c r="C21" s="19">
        <f>C20*B20</f>
        <v>390.35299160000005</v>
      </c>
      <c r="E21" s="22">
        <f>C21/4</f>
        <v>97.588247900000013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topLeftCell="A7" workbookViewId="0">
      <selection activeCell="F16" sqref="F16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2" x14ac:dyDescent="0.35">
      <c r="A1" s="1"/>
      <c r="B1" s="2"/>
      <c r="C1" s="3"/>
    </row>
    <row r="2" spans="1:12" ht="21" x14ac:dyDescent="0.5">
      <c r="A2" s="4"/>
      <c r="B2" s="5" t="s">
        <v>17</v>
      </c>
      <c r="C2" s="6"/>
    </row>
    <row r="3" spans="1:12" ht="21" x14ac:dyDescent="0.5">
      <c r="A3" s="4"/>
      <c r="B3" s="5" t="s">
        <v>0</v>
      </c>
      <c r="C3" s="7" t="s">
        <v>1</v>
      </c>
      <c r="J3" t="s">
        <v>18</v>
      </c>
      <c r="K3" t="s">
        <v>19</v>
      </c>
      <c r="L3" t="s">
        <v>20</v>
      </c>
    </row>
    <row r="4" spans="1:12" ht="21" x14ac:dyDescent="0.5">
      <c r="A4" s="4" t="s">
        <v>2</v>
      </c>
      <c r="B4" s="8">
        <f>H5</f>
        <v>5.5289999999999999</v>
      </c>
      <c r="C4" s="9">
        <f>B4*4</f>
        <v>22.116</v>
      </c>
      <c r="E4" t="s">
        <v>25</v>
      </c>
      <c r="F4" s="20">
        <v>0.21</v>
      </c>
      <c r="G4" s="11">
        <f>F4*90%</f>
        <v>0.189</v>
      </c>
      <c r="H4" s="12">
        <f>F4+G4</f>
        <v>0.39900000000000002</v>
      </c>
    </row>
    <row r="5" spans="1:12" ht="21" x14ac:dyDescent="0.5">
      <c r="A5" s="4"/>
      <c r="B5" s="5"/>
      <c r="C5" s="9"/>
      <c r="E5" t="s">
        <v>26</v>
      </c>
      <c r="F5" s="20">
        <v>2.91</v>
      </c>
      <c r="G5" s="11">
        <f t="shared" ref="G5:G10" si="0">F5*90%</f>
        <v>2.6190000000000002</v>
      </c>
      <c r="H5" s="15">
        <f t="shared" ref="H5:H8" si="1">F5+G5</f>
        <v>5.5289999999999999</v>
      </c>
    </row>
    <row r="6" spans="1:12" ht="21" x14ac:dyDescent="0.5">
      <c r="A6" s="4" t="s">
        <v>3</v>
      </c>
      <c r="B6" s="8">
        <f>H6</f>
        <v>5.9280000000000008</v>
      </c>
      <c r="C6" s="9">
        <f>B6*4</f>
        <v>23.712000000000003</v>
      </c>
      <c r="E6" t="s">
        <v>27</v>
      </c>
      <c r="F6" s="20">
        <v>3.12</v>
      </c>
      <c r="G6" s="11">
        <f t="shared" si="0"/>
        <v>2.8080000000000003</v>
      </c>
      <c r="H6" s="15">
        <f t="shared" si="1"/>
        <v>5.9280000000000008</v>
      </c>
    </row>
    <row r="7" spans="1:12" ht="21" x14ac:dyDescent="0.5">
      <c r="A7" s="4"/>
      <c r="B7" s="5"/>
      <c r="C7" s="9"/>
      <c r="E7" t="s">
        <v>28</v>
      </c>
      <c r="F7" s="20">
        <v>0.56000000000000005</v>
      </c>
      <c r="G7" s="11">
        <f t="shared" si="0"/>
        <v>0.50400000000000011</v>
      </c>
      <c r="H7" s="15">
        <f t="shared" si="1"/>
        <v>1.0640000000000001</v>
      </c>
    </row>
    <row r="8" spans="1:12" ht="21" x14ac:dyDescent="0.5">
      <c r="A8" s="4" t="s">
        <v>4</v>
      </c>
      <c r="B8" s="8">
        <f>H7</f>
        <v>1.0640000000000001</v>
      </c>
      <c r="C8" s="9">
        <f>B8*4</f>
        <v>4.2560000000000002</v>
      </c>
      <c r="E8" t="s">
        <v>29</v>
      </c>
      <c r="F8" s="20">
        <v>2.19</v>
      </c>
      <c r="G8" s="11">
        <f t="shared" si="0"/>
        <v>1.9710000000000001</v>
      </c>
      <c r="H8" s="15">
        <f t="shared" si="1"/>
        <v>4.1609999999999996</v>
      </c>
    </row>
    <row r="9" spans="1:12" ht="21" x14ac:dyDescent="0.5">
      <c r="A9" s="4"/>
      <c r="B9" s="5"/>
      <c r="C9" s="9"/>
      <c r="E9" t="s">
        <v>30</v>
      </c>
      <c r="F9" s="20"/>
      <c r="G9" s="11">
        <f t="shared" si="0"/>
        <v>0</v>
      </c>
      <c r="H9" s="15">
        <f>F9+G9</f>
        <v>0</v>
      </c>
    </row>
    <row r="10" spans="1:12" ht="21" x14ac:dyDescent="0.5">
      <c r="A10" s="4" t="s">
        <v>5</v>
      </c>
      <c r="B10" s="8">
        <f>H8</f>
        <v>4.1609999999999996</v>
      </c>
      <c r="C10" s="9">
        <f>B10*4</f>
        <v>16.643999999999998</v>
      </c>
      <c r="E10" t="s">
        <v>31</v>
      </c>
      <c r="F10" s="20">
        <v>0.05</v>
      </c>
      <c r="G10" s="11">
        <f t="shared" si="0"/>
        <v>4.5000000000000005E-2</v>
      </c>
      <c r="H10" s="16">
        <f>F10+G10</f>
        <v>9.5000000000000001E-2</v>
      </c>
    </row>
    <row r="11" spans="1:12" ht="21" x14ac:dyDescent="0.5">
      <c r="A11" s="4"/>
      <c r="B11" s="5"/>
      <c r="C11" s="9"/>
      <c r="E11" s="17"/>
      <c r="H11" s="17"/>
    </row>
    <row r="12" spans="1:12" ht="21" x14ac:dyDescent="0.5">
      <c r="A12" s="4" t="s">
        <v>6</v>
      </c>
      <c r="B12" s="8">
        <f>H9</f>
        <v>0</v>
      </c>
      <c r="C12" s="9">
        <f>B12*4</f>
        <v>0</v>
      </c>
      <c r="E12" s="17"/>
      <c r="H12" s="17"/>
    </row>
    <row r="13" spans="1:12" ht="21" x14ac:dyDescent="0.5">
      <c r="A13" s="4"/>
      <c r="B13" s="5"/>
      <c r="C13" s="9"/>
      <c r="H13" s="17"/>
    </row>
    <row r="14" spans="1:12" ht="21" x14ac:dyDescent="0.5">
      <c r="A14" s="4" t="s">
        <v>7</v>
      </c>
      <c r="B14" s="8">
        <f>H10</f>
        <v>9.5000000000000001E-2</v>
      </c>
      <c r="C14" s="9">
        <f>B14*4</f>
        <v>0.38</v>
      </c>
    </row>
    <row r="15" spans="1:12" ht="21" x14ac:dyDescent="0.5">
      <c r="A15" s="4"/>
      <c r="B15" s="5"/>
      <c r="C15" s="9"/>
    </row>
    <row r="16" spans="1:12" ht="21" x14ac:dyDescent="0.5">
      <c r="A16" s="4" t="s">
        <v>8</v>
      </c>
      <c r="B16" s="8">
        <f>H4</f>
        <v>0.39900000000000002</v>
      </c>
      <c r="C16" s="9">
        <f>B16*4</f>
        <v>1.5960000000000001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68.704000000000008</v>
      </c>
    </row>
    <row r="19" spans="1:5" ht="21" x14ac:dyDescent="0.5">
      <c r="A19" s="4" t="s">
        <v>10</v>
      </c>
      <c r="B19" s="8"/>
      <c r="C19" s="9">
        <f>C18*320</f>
        <v>21985.280000000002</v>
      </c>
      <c r="D19" t="s">
        <v>11</v>
      </c>
    </row>
    <row r="20" spans="1:5" ht="21" x14ac:dyDescent="0.5">
      <c r="A20" s="4" t="s">
        <v>35</v>
      </c>
      <c r="B20" s="21">
        <v>2.1</v>
      </c>
      <c r="C20" s="18">
        <f>C19/1000</f>
        <v>21.985280000000003</v>
      </c>
      <c r="D20" t="s">
        <v>12</v>
      </c>
    </row>
    <row r="21" spans="1:5" ht="21" x14ac:dyDescent="0.5">
      <c r="A21" s="4"/>
      <c r="B21" s="21"/>
      <c r="C21" s="18">
        <f>C20*2.20462</f>
        <v>48.469187993600002</v>
      </c>
      <c r="D21" t="s">
        <v>34</v>
      </c>
      <c r="E21">
        <f>C21/4</f>
        <v>12.117296998400001</v>
      </c>
    </row>
    <row r="22" spans="1:5" ht="21" x14ac:dyDescent="0.5">
      <c r="A22" s="4" t="s">
        <v>13</v>
      </c>
      <c r="B22" s="8"/>
      <c r="C22" s="19">
        <f>C21*B20</f>
        <v>101.78529478656002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topLeftCell="A7" workbookViewId="0">
      <selection activeCell="F18" sqref="F18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21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2.0354999999999999</v>
      </c>
      <c r="C4" s="9">
        <f>B4*4</f>
        <v>8.1419999999999995</v>
      </c>
      <c r="E4" t="s">
        <v>25</v>
      </c>
      <c r="F4">
        <v>0.84</v>
      </c>
      <c r="G4" s="11">
        <f>F4*15%</f>
        <v>0.126</v>
      </c>
      <c r="H4" s="12">
        <f>F4+G4</f>
        <v>0.96599999999999997</v>
      </c>
      <c r="J4" s="13"/>
      <c r="K4" s="13"/>
    </row>
    <row r="5" spans="1:11" ht="21" x14ac:dyDescent="0.5">
      <c r="A5" s="4"/>
      <c r="B5" s="5"/>
      <c r="C5" s="9"/>
      <c r="E5" t="s">
        <v>26</v>
      </c>
      <c r="F5" s="20">
        <v>1.77</v>
      </c>
      <c r="G5" s="11">
        <f t="shared" ref="G5:G8" si="0">F5*15%</f>
        <v>0.26550000000000001</v>
      </c>
      <c r="H5" s="15">
        <f t="shared" ref="H5:H8" si="1">F5+G5</f>
        <v>2.0354999999999999</v>
      </c>
    </row>
    <row r="6" spans="1:11" ht="21" x14ac:dyDescent="0.5">
      <c r="A6" s="4" t="s">
        <v>3</v>
      </c>
      <c r="B6" s="8">
        <f>H6</f>
        <v>0.96599999999999997</v>
      </c>
      <c r="C6" s="9">
        <f>B6*4</f>
        <v>3.8639999999999999</v>
      </c>
      <c r="E6" t="s">
        <v>27</v>
      </c>
      <c r="F6">
        <v>0.84</v>
      </c>
      <c r="G6" s="11">
        <f t="shared" si="0"/>
        <v>0.126</v>
      </c>
      <c r="H6" s="15">
        <f t="shared" si="1"/>
        <v>0.96599999999999997</v>
      </c>
    </row>
    <row r="7" spans="1:11" ht="21" x14ac:dyDescent="0.5">
      <c r="A7" s="4"/>
      <c r="B7" s="5"/>
      <c r="C7" s="9"/>
      <c r="E7" t="s">
        <v>28</v>
      </c>
      <c r="F7">
        <v>3.57</v>
      </c>
      <c r="G7" s="11">
        <f t="shared" si="0"/>
        <v>0.53549999999999998</v>
      </c>
      <c r="H7" s="15">
        <f t="shared" si="1"/>
        <v>4.1055000000000001</v>
      </c>
    </row>
    <row r="8" spans="1:11" ht="21" x14ac:dyDescent="0.5">
      <c r="A8" s="4" t="s">
        <v>4</v>
      </c>
      <c r="B8" s="8">
        <f>H7</f>
        <v>4.1055000000000001</v>
      </c>
      <c r="C8" s="9">
        <f>B8*4</f>
        <v>16.422000000000001</v>
      </c>
      <c r="E8" t="s">
        <v>29</v>
      </c>
      <c r="F8">
        <v>0.26</v>
      </c>
      <c r="G8" s="11">
        <f t="shared" si="0"/>
        <v>3.9E-2</v>
      </c>
      <c r="H8" s="15">
        <f t="shared" si="1"/>
        <v>0.29899999999999999</v>
      </c>
    </row>
    <row r="9" spans="1:11" ht="21" x14ac:dyDescent="0.5">
      <c r="A9" s="4"/>
      <c r="B9" s="5"/>
      <c r="C9" s="9"/>
      <c r="E9" t="s">
        <v>30</v>
      </c>
      <c r="F9" s="20">
        <v>7.0000000000000007E-2</v>
      </c>
      <c r="G9" s="11">
        <f>F9*15%</f>
        <v>1.0500000000000001E-2</v>
      </c>
      <c r="H9" s="15">
        <f>F9+G9</f>
        <v>8.0500000000000002E-2</v>
      </c>
    </row>
    <row r="10" spans="1:11" ht="21" x14ac:dyDescent="0.5">
      <c r="A10" s="4" t="s">
        <v>5</v>
      </c>
      <c r="B10" s="8">
        <f>H8</f>
        <v>0.29899999999999999</v>
      </c>
      <c r="C10" s="9">
        <f>B10*4</f>
        <v>1.196</v>
      </c>
      <c r="E10" t="s">
        <v>31</v>
      </c>
      <c r="F10">
        <v>21.54</v>
      </c>
      <c r="G10" s="11">
        <f>F10*15%</f>
        <v>3.2309999999999999</v>
      </c>
      <c r="H10" s="16">
        <f>F10+G10</f>
        <v>24.771000000000001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8.0500000000000002E-2</v>
      </c>
      <c r="C12" s="9">
        <f>B12*4</f>
        <v>0.32200000000000001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24.771000000000001</v>
      </c>
      <c r="C14" s="9">
        <f>B14*4</f>
        <v>99.084000000000003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0.96599999999999997</v>
      </c>
      <c r="C16" s="9">
        <f>B16*4</f>
        <v>3.8639999999999999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132.89400000000001</v>
      </c>
    </row>
    <row r="19" spans="1:5" ht="21" x14ac:dyDescent="0.5">
      <c r="A19" s="4" t="s">
        <v>10</v>
      </c>
      <c r="B19" s="8"/>
      <c r="C19" s="9">
        <f>C18*265</f>
        <v>35216.910000000003</v>
      </c>
      <c r="D19" t="s">
        <v>11</v>
      </c>
    </row>
    <row r="20" spans="1:5" ht="21" x14ac:dyDescent="0.5">
      <c r="A20" s="4" t="s">
        <v>33</v>
      </c>
      <c r="B20" s="21">
        <v>7.2</v>
      </c>
      <c r="C20" s="18">
        <f>C19/1000</f>
        <v>35.216910000000006</v>
      </c>
      <c r="D20" t="s">
        <v>12</v>
      </c>
      <c r="E20">
        <f>C20/4</f>
        <v>8.8042275000000014</v>
      </c>
    </row>
    <row r="21" spans="1:5" ht="21" x14ac:dyDescent="0.5">
      <c r="A21" s="4" t="s">
        <v>13</v>
      </c>
      <c r="B21" s="8"/>
      <c r="C21" s="19">
        <f>C20*B20</f>
        <v>253.56175200000004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topLeftCell="A13" workbookViewId="0">
      <selection activeCell="F35" sqref="F35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22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25.518500000000003</v>
      </c>
      <c r="C4" s="9">
        <f>B4*4</f>
        <v>102.07400000000001</v>
      </c>
      <c r="E4" t="s">
        <v>25</v>
      </c>
      <c r="G4" s="11">
        <f>F4*15%</f>
        <v>0</v>
      </c>
      <c r="H4" s="12">
        <f t="shared" ref="H4:H10" si="0">F4+G4</f>
        <v>0</v>
      </c>
      <c r="J4" s="13"/>
      <c r="K4" s="13"/>
    </row>
    <row r="5" spans="1:11" ht="21" x14ac:dyDescent="0.5">
      <c r="A5" s="4"/>
      <c r="B5" s="5"/>
      <c r="C5" s="9"/>
      <c r="E5" t="s">
        <v>26</v>
      </c>
      <c r="F5">
        <v>22.19</v>
      </c>
      <c r="G5" s="11">
        <f t="shared" ref="G5:G10" si="1">F5*15%</f>
        <v>3.3285</v>
      </c>
      <c r="H5" s="15">
        <f t="shared" si="0"/>
        <v>25.518500000000003</v>
      </c>
    </row>
    <row r="6" spans="1:11" ht="21" x14ac:dyDescent="0.5">
      <c r="A6" s="4" t="s">
        <v>3</v>
      </c>
      <c r="B6" s="8">
        <f>H6</f>
        <v>0</v>
      </c>
      <c r="C6" s="9">
        <f>B6*4</f>
        <v>0</v>
      </c>
      <c r="E6" t="s">
        <v>27</v>
      </c>
      <c r="G6" s="11">
        <f t="shared" si="1"/>
        <v>0</v>
      </c>
      <c r="H6" s="15">
        <f t="shared" si="0"/>
        <v>0</v>
      </c>
    </row>
    <row r="7" spans="1:11" ht="21" x14ac:dyDescent="0.5">
      <c r="A7" s="4"/>
      <c r="B7" s="5"/>
      <c r="C7" s="9"/>
      <c r="E7" t="s">
        <v>28</v>
      </c>
      <c r="G7" s="11">
        <f t="shared" si="1"/>
        <v>0</v>
      </c>
      <c r="H7" s="15">
        <f t="shared" si="0"/>
        <v>0</v>
      </c>
    </row>
    <row r="8" spans="1:11" ht="21" x14ac:dyDescent="0.5">
      <c r="A8" s="4" t="s">
        <v>4</v>
      </c>
      <c r="B8" s="8">
        <f>H7</f>
        <v>0</v>
      </c>
      <c r="C8" s="9">
        <f>B8*4</f>
        <v>0</v>
      </c>
      <c r="E8" t="s">
        <v>29</v>
      </c>
      <c r="G8" s="11">
        <f t="shared" si="1"/>
        <v>0</v>
      </c>
      <c r="H8" s="15">
        <f t="shared" si="0"/>
        <v>0</v>
      </c>
    </row>
    <row r="9" spans="1:11" ht="21" x14ac:dyDescent="0.5">
      <c r="A9" s="4"/>
      <c r="B9" s="5"/>
      <c r="C9" s="9"/>
      <c r="E9" t="s">
        <v>30</v>
      </c>
      <c r="G9" s="11">
        <f t="shared" si="1"/>
        <v>0</v>
      </c>
      <c r="H9" s="15">
        <f t="shared" si="0"/>
        <v>0</v>
      </c>
    </row>
    <row r="10" spans="1:11" ht="21" x14ac:dyDescent="0.5">
      <c r="A10" s="4" t="s">
        <v>5</v>
      </c>
      <c r="B10" s="8">
        <f>H8</f>
        <v>0</v>
      </c>
      <c r="C10" s="9">
        <f>B10*4</f>
        <v>0</v>
      </c>
      <c r="E10" t="s">
        <v>31</v>
      </c>
      <c r="G10" s="11">
        <f t="shared" si="1"/>
        <v>0</v>
      </c>
      <c r="H10" s="16">
        <f t="shared" si="0"/>
        <v>0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0</v>
      </c>
      <c r="C12" s="9">
        <f>B12*4</f>
        <v>0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0</v>
      </c>
      <c r="C14" s="9">
        <f>B14*4</f>
        <v>0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0</v>
      </c>
      <c r="C16" s="9">
        <f>B16*4</f>
        <v>0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102.07400000000001</v>
      </c>
    </row>
    <row r="19" spans="1:5" ht="21" x14ac:dyDescent="0.5">
      <c r="A19" s="4" t="s">
        <v>10</v>
      </c>
      <c r="B19" s="8"/>
      <c r="C19" s="9">
        <f>C18*265</f>
        <v>27049.610000000004</v>
      </c>
      <c r="D19" t="s">
        <v>11</v>
      </c>
    </row>
    <row r="20" spans="1:5" ht="21" x14ac:dyDescent="0.5">
      <c r="A20" s="4" t="s">
        <v>33</v>
      </c>
      <c r="B20" s="21">
        <v>5.75</v>
      </c>
      <c r="C20" s="18">
        <f>C19/1000</f>
        <v>27.049610000000005</v>
      </c>
      <c r="D20" t="s">
        <v>12</v>
      </c>
      <c r="E20">
        <f>C20/4</f>
        <v>6.7624025000000012</v>
      </c>
    </row>
    <row r="21" spans="1:5" ht="21" x14ac:dyDescent="0.5">
      <c r="A21" s="4" t="s">
        <v>13</v>
      </c>
      <c r="B21" s="8"/>
      <c r="C21" s="19">
        <f>C20*B20</f>
        <v>155.53525750000003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"/>
  <sheetViews>
    <sheetView topLeftCell="A10" workbookViewId="0">
      <selection activeCell="D26" sqref="D26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23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H5</f>
        <v>0</v>
      </c>
      <c r="C4" s="9">
        <f>B4*4</f>
        <v>0</v>
      </c>
      <c r="E4" t="s">
        <v>25</v>
      </c>
      <c r="G4" s="11">
        <f>F4*15%</f>
        <v>0</v>
      </c>
      <c r="H4" s="12">
        <f t="shared" ref="H4:H10" si="0">F4+G4</f>
        <v>0</v>
      </c>
      <c r="J4" s="13"/>
      <c r="K4" s="13"/>
    </row>
    <row r="5" spans="1:11" ht="21" x14ac:dyDescent="0.5">
      <c r="A5" s="4"/>
      <c r="B5" s="5"/>
      <c r="C5" s="9"/>
      <c r="E5" t="s">
        <v>26</v>
      </c>
      <c r="G5" s="11">
        <f t="shared" ref="G5:G10" si="1">F5*15%</f>
        <v>0</v>
      </c>
      <c r="H5" s="15">
        <f t="shared" si="0"/>
        <v>0</v>
      </c>
    </row>
    <row r="6" spans="1:11" ht="21" x14ac:dyDescent="0.5">
      <c r="A6" s="4" t="s">
        <v>3</v>
      </c>
      <c r="B6" s="8">
        <f>H6</f>
        <v>18.791</v>
      </c>
      <c r="C6" s="9">
        <f>B6*4</f>
        <v>75.164000000000001</v>
      </c>
      <c r="E6" t="s">
        <v>27</v>
      </c>
      <c r="F6">
        <v>16.34</v>
      </c>
      <c r="G6" s="11">
        <f t="shared" si="1"/>
        <v>2.4510000000000001</v>
      </c>
      <c r="H6" s="15">
        <f t="shared" si="0"/>
        <v>18.791</v>
      </c>
    </row>
    <row r="7" spans="1:11" ht="21" x14ac:dyDescent="0.5">
      <c r="A7" s="4"/>
      <c r="B7" s="5"/>
      <c r="C7" s="9"/>
      <c r="E7" t="s">
        <v>28</v>
      </c>
      <c r="G7" s="11">
        <f t="shared" si="1"/>
        <v>0</v>
      </c>
      <c r="H7" s="15">
        <f t="shared" si="0"/>
        <v>0</v>
      </c>
    </row>
    <row r="8" spans="1:11" ht="21" x14ac:dyDescent="0.5">
      <c r="A8" s="4" t="s">
        <v>4</v>
      </c>
      <c r="B8" s="8">
        <f>H7</f>
        <v>0</v>
      </c>
      <c r="C8" s="9">
        <f>B8*4</f>
        <v>0</v>
      </c>
      <c r="E8" t="s">
        <v>29</v>
      </c>
      <c r="G8" s="11">
        <f t="shared" si="1"/>
        <v>0</v>
      </c>
      <c r="H8" s="15">
        <f t="shared" si="0"/>
        <v>0</v>
      </c>
    </row>
    <row r="9" spans="1:11" ht="21" x14ac:dyDescent="0.5">
      <c r="A9" s="4"/>
      <c r="B9" s="5"/>
      <c r="C9" s="9"/>
      <c r="E9" t="s">
        <v>30</v>
      </c>
      <c r="G9" s="11">
        <f t="shared" si="1"/>
        <v>0</v>
      </c>
      <c r="H9" s="15">
        <f t="shared" si="0"/>
        <v>0</v>
      </c>
    </row>
    <row r="10" spans="1:11" ht="21" x14ac:dyDescent="0.5">
      <c r="A10" s="4" t="s">
        <v>5</v>
      </c>
      <c r="B10" s="8">
        <f>H8</f>
        <v>0</v>
      </c>
      <c r="C10" s="9">
        <f>B10*4</f>
        <v>0</v>
      </c>
      <c r="E10" t="s">
        <v>31</v>
      </c>
      <c r="G10" s="11">
        <f t="shared" si="1"/>
        <v>0</v>
      </c>
      <c r="H10" s="16">
        <f t="shared" si="0"/>
        <v>0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H9</f>
        <v>0</v>
      </c>
      <c r="C12" s="9">
        <f>B12*4</f>
        <v>0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H10</f>
        <v>0</v>
      </c>
      <c r="C14" s="9">
        <f>B14*4</f>
        <v>0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H4</f>
        <v>0</v>
      </c>
      <c r="C16" s="9">
        <f>B16*4</f>
        <v>0</v>
      </c>
    </row>
    <row r="17" spans="1:5" ht="21" x14ac:dyDescent="0.5">
      <c r="A17" s="4"/>
      <c r="B17" s="8"/>
      <c r="C17" s="9"/>
    </row>
    <row r="18" spans="1:5" ht="21" x14ac:dyDescent="0.5">
      <c r="A18" s="4" t="s">
        <v>9</v>
      </c>
      <c r="B18" s="8"/>
      <c r="C18" s="9">
        <f>SUM(C4:C16)</f>
        <v>75.164000000000001</v>
      </c>
    </row>
    <row r="19" spans="1:5" ht="21" x14ac:dyDescent="0.5">
      <c r="A19" s="4" t="s">
        <v>10</v>
      </c>
      <c r="B19" s="8"/>
      <c r="C19" s="9">
        <f>C18*265</f>
        <v>19918.46</v>
      </c>
      <c r="D19" t="s">
        <v>11</v>
      </c>
    </row>
    <row r="20" spans="1:5" ht="21" x14ac:dyDescent="0.5">
      <c r="A20" s="4" t="s">
        <v>33</v>
      </c>
      <c r="B20" s="21">
        <v>2.4</v>
      </c>
      <c r="C20" s="18">
        <f>C19/1000</f>
        <v>19.91846</v>
      </c>
      <c r="D20" t="s">
        <v>12</v>
      </c>
      <c r="E20">
        <f>C20/4</f>
        <v>4.9796149999999999</v>
      </c>
    </row>
    <row r="21" spans="1:5" ht="21" x14ac:dyDescent="0.5">
      <c r="A21" s="4" t="s">
        <v>13</v>
      </c>
      <c r="B21" s="8"/>
      <c r="C21" s="19">
        <f>C20*B20</f>
        <v>47.804303999999995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topLeftCell="A7" workbookViewId="0">
      <selection activeCell="F20" sqref="F20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24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I5</f>
        <v>0</v>
      </c>
      <c r="C4" s="9">
        <f>B4*4</f>
        <v>0</v>
      </c>
      <c r="F4" t="s">
        <v>25</v>
      </c>
      <c r="H4" s="11">
        <f>G4*10%</f>
        <v>0</v>
      </c>
      <c r="I4" s="12">
        <f t="shared" ref="I4:I10" si="0">G4+H4</f>
        <v>0</v>
      </c>
      <c r="J4" s="13"/>
      <c r="K4" s="13"/>
    </row>
    <row r="5" spans="1:11" ht="21" x14ac:dyDescent="0.5">
      <c r="A5" s="4"/>
      <c r="B5" s="5"/>
      <c r="C5" s="9"/>
      <c r="F5" t="s">
        <v>26</v>
      </c>
      <c r="H5" s="11">
        <f>G5*10%</f>
        <v>0</v>
      </c>
      <c r="I5" s="15">
        <f t="shared" si="0"/>
        <v>0</v>
      </c>
    </row>
    <row r="6" spans="1:11" ht="21" x14ac:dyDescent="0.5">
      <c r="A6" s="4" t="s">
        <v>3</v>
      </c>
      <c r="B6" s="8">
        <f>I6</f>
        <v>0</v>
      </c>
      <c r="C6" s="9">
        <f>B6*4</f>
        <v>0</v>
      </c>
      <c r="F6" t="s">
        <v>27</v>
      </c>
      <c r="H6" s="11">
        <f t="shared" ref="H6:H10" si="1">G6*10%</f>
        <v>0</v>
      </c>
      <c r="I6" s="15">
        <f t="shared" si="0"/>
        <v>0</v>
      </c>
    </row>
    <row r="7" spans="1:11" ht="21" x14ac:dyDescent="0.5">
      <c r="A7" s="4"/>
      <c r="B7" s="5"/>
      <c r="C7" s="9"/>
      <c r="F7" t="s">
        <v>28</v>
      </c>
      <c r="H7" s="11">
        <f t="shared" si="1"/>
        <v>0</v>
      </c>
      <c r="I7" s="15">
        <f t="shared" si="0"/>
        <v>0</v>
      </c>
    </row>
    <row r="8" spans="1:11" ht="21" x14ac:dyDescent="0.5">
      <c r="A8" s="4" t="s">
        <v>4</v>
      </c>
      <c r="B8" s="8">
        <f>I7</f>
        <v>0</v>
      </c>
      <c r="C8" s="9">
        <f>B8*4</f>
        <v>0</v>
      </c>
      <c r="F8" t="s">
        <v>29</v>
      </c>
      <c r="G8">
        <v>1.0900000000000001</v>
      </c>
      <c r="H8" s="11">
        <f t="shared" si="1"/>
        <v>0.10900000000000001</v>
      </c>
      <c r="I8" s="15">
        <f t="shared" si="0"/>
        <v>1.1990000000000001</v>
      </c>
    </row>
    <row r="9" spans="1:11" ht="21" x14ac:dyDescent="0.5">
      <c r="A9" s="4"/>
      <c r="B9" s="5"/>
      <c r="C9" s="9"/>
      <c r="F9" t="s">
        <v>30</v>
      </c>
      <c r="G9">
        <v>14.59</v>
      </c>
      <c r="H9" s="11">
        <f t="shared" si="1"/>
        <v>1.4590000000000001</v>
      </c>
      <c r="I9" s="15">
        <f t="shared" si="0"/>
        <v>16.048999999999999</v>
      </c>
    </row>
    <row r="10" spans="1:11" ht="21" x14ac:dyDescent="0.5">
      <c r="A10" s="4" t="s">
        <v>5</v>
      </c>
      <c r="B10" s="8">
        <f>I8</f>
        <v>1.1990000000000001</v>
      </c>
      <c r="C10" s="9">
        <f>B10*4</f>
        <v>4.7960000000000003</v>
      </c>
      <c r="F10" t="s">
        <v>31</v>
      </c>
      <c r="H10" s="11">
        <f t="shared" si="1"/>
        <v>0</v>
      </c>
      <c r="I10" s="16">
        <f t="shared" si="0"/>
        <v>0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I9</f>
        <v>16.048999999999999</v>
      </c>
      <c r="C12" s="9">
        <f>B12*4</f>
        <v>64.195999999999998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I10</f>
        <v>0</v>
      </c>
      <c r="C14" s="9">
        <f>B14*4</f>
        <v>0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I4</f>
        <v>0</v>
      </c>
      <c r="C16" s="9">
        <f>B16*4</f>
        <v>0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8"/>
      <c r="C18" s="9">
        <f>SUM(C4:C16)</f>
        <v>68.992000000000004</v>
      </c>
    </row>
    <row r="19" spans="1:6" ht="21" x14ac:dyDescent="0.5">
      <c r="A19" s="4" t="s">
        <v>10</v>
      </c>
      <c r="B19" s="8"/>
      <c r="C19" s="9">
        <f>C18*180</f>
        <v>12418.560000000001</v>
      </c>
      <c r="D19" t="s">
        <v>11</v>
      </c>
    </row>
    <row r="20" spans="1:6" ht="21" x14ac:dyDescent="0.5">
      <c r="A20" s="4" t="s">
        <v>36</v>
      </c>
      <c r="B20" s="21">
        <v>2.75</v>
      </c>
      <c r="C20" s="18">
        <f>C19/1000</f>
        <v>12.418560000000001</v>
      </c>
      <c r="D20" t="s">
        <v>12</v>
      </c>
    </row>
    <row r="21" spans="1:6" ht="21" x14ac:dyDescent="0.5">
      <c r="A21" s="4"/>
      <c r="B21" s="8"/>
      <c r="C21" s="18">
        <f>C20*2.2</f>
        <v>27.320832000000006</v>
      </c>
      <c r="D21" t="s">
        <v>34</v>
      </c>
      <c r="E21">
        <f>C21/4</f>
        <v>6.8302080000000016</v>
      </c>
      <c r="F21" s="22"/>
    </row>
    <row r="22" spans="1:6" ht="21" x14ac:dyDescent="0.5">
      <c r="A22" s="4" t="s">
        <v>13</v>
      </c>
      <c r="B22" s="8"/>
      <c r="C22" s="19">
        <f>C21*B20</f>
        <v>75.132288000000017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1"/>
  <sheetViews>
    <sheetView topLeftCell="A10" workbookViewId="0">
      <selection activeCell="B20" sqref="B20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24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I5</f>
        <v>0</v>
      </c>
      <c r="C4" s="9">
        <f>B4*4</f>
        <v>0</v>
      </c>
      <c r="F4" t="s">
        <v>25</v>
      </c>
      <c r="H4" s="11">
        <f>G4*10%</f>
        <v>0</v>
      </c>
      <c r="I4" s="12">
        <f t="shared" ref="I4:I10" si="0">G4+H4</f>
        <v>0</v>
      </c>
      <c r="J4" s="13"/>
      <c r="K4" s="13"/>
    </row>
    <row r="5" spans="1:11" ht="21" x14ac:dyDescent="0.5">
      <c r="A5" s="4"/>
      <c r="B5" s="5"/>
      <c r="C5" s="9"/>
      <c r="F5" t="s">
        <v>26</v>
      </c>
      <c r="H5" s="11">
        <f t="shared" ref="H5:H10" si="1">G5*10%</f>
        <v>0</v>
      </c>
      <c r="I5" s="15">
        <f t="shared" si="0"/>
        <v>0</v>
      </c>
    </row>
    <row r="6" spans="1:11" ht="21" x14ac:dyDescent="0.5">
      <c r="A6" s="4" t="s">
        <v>3</v>
      </c>
      <c r="B6" s="8">
        <f>I6</f>
        <v>0</v>
      </c>
      <c r="C6" s="9">
        <f>B6*4</f>
        <v>0</v>
      </c>
      <c r="F6" t="s">
        <v>27</v>
      </c>
      <c r="H6" s="11">
        <f t="shared" si="1"/>
        <v>0</v>
      </c>
      <c r="I6" s="15">
        <f t="shared" si="0"/>
        <v>0</v>
      </c>
    </row>
    <row r="7" spans="1:11" ht="21" x14ac:dyDescent="0.5">
      <c r="A7" s="4"/>
      <c r="B7" s="5"/>
      <c r="C7" s="9"/>
      <c r="F7" t="s">
        <v>28</v>
      </c>
      <c r="H7" s="11">
        <f t="shared" si="1"/>
        <v>0</v>
      </c>
      <c r="I7" s="15">
        <f t="shared" si="0"/>
        <v>0</v>
      </c>
    </row>
    <row r="8" spans="1:11" ht="21" x14ac:dyDescent="0.5">
      <c r="A8" s="4" t="s">
        <v>4</v>
      </c>
      <c r="B8" s="8">
        <f>I7</f>
        <v>0</v>
      </c>
      <c r="C8" s="9">
        <f>B8*4</f>
        <v>0</v>
      </c>
      <c r="F8" t="s">
        <v>29</v>
      </c>
      <c r="H8" s="11">
        <f t="shared" si="1"/>
        <v>0</v>
      </c>
      <c r="I8" s="15">
        <f t="shared" si="0"/>
        <v>0</v>
      </c>
    </row>
    <row r="9" spans="1:11" ht="21" x14ac:dyDescent="0.5">
      <c r="A9" s="4"/>
      <c r="B9" s="5"/>
      <c r="C9" s="9"/>
      <c r="F9" t="s">
        <v>30</v>
      </c>
      <c r="G9">
        <v>15.8</v>
      </c>
      <c r="H9" s="11">
        <f t="shared" si="1"/>
        <v>1.58</v>
      </c>
      <c r="I9" s="15">
        <f t="shared" si="0"/>
        <v>17.380000000000003</v>
      </c>
    </row>
    <row r="10" spans="1:11" ht="21" x14ac:dyDescent="0.5">
      <c r="A10" s="4" t="s">
        <v>5</v>
      </c>
      <c r="B10" s="8">
        <f>I8</f>
        <v>0</v>
      </c>
      <c r="C10" s="9">
        <f>B10*4</f>
        <v>0</v>
      </c>
      <c r="F10" t="s">
        <v>31</v>
      </c>
      <c r="H10" s="11">
        <f t="shared" si="1"/>
        <v>0</v>
      </c>
      <c r="I10" s="16">
        <f t="shared" si="0"/>
        <v>0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I9</f>
        <v>17.380000000000003</v>
      </c>
      <c r="C12" s="9">
        <f>B12*4</f>
        <v>69.52000000000001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I10</f>
        <v>0</v>
      </c>
      <c r="C14" s="9">
        <f>B14*4</f>
        <v>0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I4</f>
        <v>0</v>
      </c>
      <c r="C16" s="9">
        <f>B16*4</f>
        <v>0</v>
      </c>
    </row>
    <row r="17" spans="1:6" ht="21" x14ac:dyDescent="0.5">
      <c r="A17" s="4"/>
      <c r="B17" s="8"/>
      <c r="C17" s="9"/>
    </row>
    <row r="18" spans="1:6" ht="21" x14ac:dyDescent="0.5">
      <c r="A18" s="4" t="s">
        <v>9</v>
      </c>
      <c r="B18" s="8"/>
      <c r="C18" s="9">
        <f>SUM(C4:C16)</f>
        <v>69.52000000000001</v>
      </c>
    </row>
    <row r="19" spans="1:6" ht="21" x14ac:dyDescent="0.5">
      <c r="A19" s="4" t="s">
        <v>10</v>
      </c>
      <c r="B19" s="8"/>
      <c r="C19" s="9">
        <f>C18*180</f>
        <v>12513.600000000002</v>
      </c>
      <c r="D19" t="s">
        <v>11</v>
      </c>
    </row>
    <row r="20" spans="1:6" ht="21" x14ac:dyDescent="0.5">
      <c r="A20" s="4" t="s">
        <v>33</v>
      </c>
      <c r="B20" s="21">
        <v>10.19</v>
      </c>
      <c r="C20" s="18">
        <f>C19/1000</f>
        <v>12.513600000000002</v>
      </c>
      <c r="D20" t="s">
        <v>12</v>
      </c>
      <c r="E20">
        <f>C20/4</f>
        <v>3.1284000000000005</v>
      </c>
    </row>
    <row r="21" spans="1:6" ht="21" x14ac:dyDescent="0.5">
      <c r="A21" s="4" t="s">
        <v>13</v>
      </c>
      <c r="B21" s="8"/>
      <c r="C21" s="19">
        <f>C20*B20</f>
        <v>127.51358400000001</v>
      </c>
      <c r="F21" t="s">
        <v>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"/>
  <sheetViews>
    <sheetView topLeftCell="A13" workbookViewId="0">
      <selection activeCell="E29" sqref="E29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24</v>
      </c>
      <c r="C2" s="6"/>
      <c r="D2" t="s">
        <v>41</v>
      </c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I5</f>
        <v>0</v>
      </c>
      <c r="C4" s="9">
        <f>B4*4</f>
        <v>0</v>
      </c>
      <c r="F4" t="s">
        <v>25</v>
      </c>
      <c r="H4" s="11">
        <f>G4*15%</f>
        <v>0</v>
      </c>
      <c r="I4" s="12">
        <f t="shared" ref="I4:I10" si="0">G4+H4</f>
        <v>0</v>
      </c>
      <c r="J4" s="13"/>
      <c r="K4" s="13"/>
    </row>
    <row r="5" spans="1:11" ht="21" x14ac:dyDescent="0.5">
      <c r="A5" s="4"/>
      <c r="B5" s="5"/>
      <c r="C5" s="9"/>
      <c r="F5" t="s">
        <v>26</v>
      </c>
      <c r="H5" s="11">
        <f t="shared" ref="H5:H10" si="1">G5*15%</f>
        <v>0</v>
      </c>
      <c r="I5" s="15">
        <f t="shared" si="0"/>
        <v>0</v>
      </c>
    </row>
    <row r="6" spans="1:11" ht="21" x14ac:dyDescent="0.5">
      <c r="A6" s="4" t="s">
        <v>3</v>
      </c>
      <c r="B6" s="8">
        <f>I6</f>
        <v>0</v>
      </c>
      <c r="C6" s="9">
        <f>B6*4</f>
        <v>0</v>
      </c>
      <c r="F6" t="s">
        <v>27</v>
      </c>
      <c r="H6" s="11">
        <f t="shared" si="1"/>
        <v>0</v>
      </c>
      <c r="I6" s="15">
        <f t="shared" si="0"/>
        <v>0</v>
      </c>
    </row>
    <row r="7" spans="1:11" ht="21" x14ac:dyDescent="0.5">
      <c r="A7" s="4"/>
      <c r="B7" s="5"/>
      <c r="C7" s="9"/>
      <c r="F7" t="s">
        <v>28</v>
      </c>
      <c r="H7" s="11">
        <f t="shared" si="1"/>
        <v>0</v>
      </c>
      <c r="I7" s="15">
        <f t="shared" si="0"/>
        <v>0</v>
      </c>
    </row>
    <row r="8" spans="1:11" ht="21" x14ac:dyDescent="0.5">
      <c r="A8" s="4" t="s">
        <v>4</v>
      </c>
      <c r="B8" s="8">
        <f>I7</f>
        <v>0</v>
      </c>
      <c r="C8" s="9">
        <f>B8*4</f>
        <v>0</v>
      </c>
      <c r="F8" t="s">
        <v>29</v>
      </c>
      <c r="H8" s="11">
        <f t="shared" si="1"/>
        <v>0</v>
      </c>
      <c r="I8" s="15">
        <f t="shared" si="0"/>
        <v>0</v>
      </c>
    </row>
    <row r="9" spans="1:11" ht="21" x14ac:dyDescent="0.5">
      <c r="A9" s="4"/>
      <c r="B9" s="5"/>
      <c r="C9" s="9"/>
      <c r="F9" t="s">
        <v>30</v>
      </c>
      <c r="H9" s="11">
        <f t="shared" si="1"/>
        <v>0</v>
      </c>
      <c r="I9" s="15">
        <f t="shared" si="0"/>
        <v>0</v>
      </c>
    </row>
    <row r="10" spans="1:11" ht="21" x14ac:dyDescent="0.5">
      <c r="A10" s="4" t="s">
        <v>5</v>
      </c>
      <c r="B10" s="8">
        <f>I8</f>
        <v>0</v>
      </c>
      <c r="C10" s="9">
        <f>B10*4</f>
        <v>0</v>
      </c>
      <c r="F10" t="s">
        <v>31</v>
      </c>
      <c r="H10" s="11">
        <f t="shared" si="1"/>
        <v>0</v>
      </c>
      <c r="I10" s="16">
        <f t="shared" si="0"/>
        <v>0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I9</f>
        <v>0</v>
      </c>
      <c r="C12" s="9">
        <f>B12*4</f>
        <v>0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I10</f>
        <v>0</v>
      </c>
      <c r="C14" s="9">
        <f>B14*4</f>
        <v>0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I4</f>
        <v>0</v>
      </c>
      <c r="C16" s="9">
        <f>B16*4</f>
        <v>0</v>
      </c>
    </row>
    <row r="17" spans="1:7" ht="21" x14ac:dyDescent="0.5">
      <c r="A17" s="4"/>
      <c r="B17" s="8"/>
      <c r="C17" s="9"/>
    </row>
    <row r="18" spans="1:7" ht="21" x14ac:dyDescent="0.5">
      <c r="A18" s="4" t="s">
        <v>9</v>
      </c>
      <c r="B18" s="8"/>
      <c r="C18" s="9">
        <f>SUM(C4:C16)</f>
        <v>0</v>
      </c>
      <c r="G18" t="s">
        <v>40</v>
      </c>
    </row>
    <row r="19" spans="1:7" ht="21" x14ac:dyDescent="0.5">
      <c r="A19" s="4" t="s">
        <v>10</v>
      </c>
      <c r="B19" s="8"/>
      <c r="C19">
        <f>C18*1.4</f>
        <v>0</v>
      </c>
      <c r="D19" t="s">
        <v>38</v>
      </c>
    </row>
    <row r="20" spans="1:7" ht="21" x14ac:dyDescent="0.5">
      <c r="A20" s="4"/>
      <c r="B20" s="8"/>
      <c r="C20">
        <f>C19/4</f>
        <v>0</v>
      </c>
      <c r="D20" t="s">
        <v>39</v>
      </c>
    </row>
    <row r="21" spans="1:7" ht="21" x14ac:dyDescent="0.5">
      <c r="A21" s="4" t="s">
        <v>33</v>
      </c>
      <c r="B21" s="21">
        <v>6.49</v>
      </c>
      <c r="C21" s="18">
        <f>C19*0.37</f>
        <v>0</v>
      </c>
      <c r="D21" t="s">
        <v>12</v>
      </c>
      <c r="E21">
        <f>C21/4</f>
        <v>0</v>
      </c>
    </row>
    <row r="22" spans="1:7" ht="21" x14ac:dyDescent="0.5">
      <c r="A22" s="4" t="s">
        <v>13</v>
      </c>
      <c r="B22" s="8"/>
      <c r="C22" s="19">
        <f>B21*C21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1"/>
  <sheetViews>
    <sheetView tabSelected="1" workbookViewId="0">
      <selection activeCell="D3" sqref="D3"/>
    </sheetView>
  </sheetViews>
  <sheetFormatPr baseColWidth="10" defaultRowHeight="14.5" x14ac:dyDescent="0.35"/>
  <cols>
    <col min="1" max="1" width="22.90625" bestFit="1" customWidth="1"/>
    <col min="2" max="2" width="25.453125" customWidth="1"/>
    <col min="3" max="3" width="14" bestFit="1" customWidth="1"/>
    <col min="6" max="6" width="10.36328125" customWidth="1"/>
    <col min="8" max="8" width="12.54296875" bestFit="1" customWidth="1"/>
  </cols>
  <sheetData>
    <row r="1" spans="1:11" x14ac:dyDescent="0.35">
      <c r="A1" s="1"/>
      <c r="B1" s="2"/>
      <c r="C1" s="3"/>
    </row>
    <row r="2" spans="1:11" ht="21" x14ac:dyDescent="0.5">
      <c r="A2" s="4"/>
      <c r="B2" s="5" t="s">
        <v>32</v>
      </c>
      <c r="C2" s="6"/>
    </row>
    <row r="3" spans="1:11" ht="21" x14ac:dyDescent="0.5">
      <c r="A3" s="4"/>
      <c r="B3" s="5" t="s">
        <v>0</v>
      </c>
      <c r="C3" s="7" t="s">
        <v>1</v>
      </c>
    </row>
    <row r="4" spans="1:11" ht="21" x14ac:dyDescent="0.5">
      <c r="A4" s="4" t="s">
        <v>2</v>
      </c>
      <c r="B4" s="8">
        <f>I5</f>
        <v>0</v>
      </c>
      <c r="C4" s="9">
        <f>B4*4</f>
        <v>0</v>
      </c>
      <c r="F4" t="s">
        <v>25</v>
      </c>
      <c r="H4" s="11">
        <f t="shared" ref="H4:H10" si="0">G4*25%</f>
        <v>0</v>
      </c>
      <c r="I4" s="12">
        <f t="shared" ref="I4:I10" si="1">G4+H4</f>
        <v>0</v>
      </c>
      <c r="J4" s="13"/>
      <c r="K4" s="13"/>
    </row>
    <row r="5" spans="1:11" ht="21" x14ac:dyDescent="0.5">
      <c r="A5" s="4"/>
      <c r="B5" s="5"/>
      <c r="C5" s="9"/>
      <c r="F5" t="s">
        <v>26</v>
      </c>
      <c r="H5" s="11">
        <f t="shared" si="0"/>
        <v>0</v>
      </c>
      <c r="I5" s="15">
        <f t="shared" si="1"/>
        <v>0</v>
      </c>
    </row>
    <row r="6" spans="1:11" ht="21" x14ac:dyDescent="0.5">
      <c r="A6" s="4" t="s">
        <v>3</v>
      </c>
      <c r="B6" s="8">
        <f>I6</f>
        <v>0</v>
      </c>
      <c r="C6" s="9">
        <f>B6*4</f>
        <v>0</v>
      </c>
      <c r="F6" t="s">
        <v>27</v>
      </c>
      <c r="H6" s="11">
        <f t="shared" si="0"/>
        <v>0</v>
      </c>
      <c r="I6" s="15">
        <f t="shared" si="1"/>
        <v>0</v>
      </c>
    </row>
    <row r="7" spans="1:11" ht="21" x14ac:dyDescent="0.5">
      <c r="A7" s="4"/>
      <c r="B7" s="5"/>
      <c r="C7" s="9"/>
      <c r="F7" t="s">
        <v>28</v>
      </c>
      <c r="H7" s="11">
        <f t="shared" si="0"/>
        <v>0</v>
      </c>
      <c r="I7" s="15">
        <f t="shared" si="1"/>
        <v>0</v>
      </c>
    </row>
    <row r="8" spans="1:11" ht="21" x14ac:dyDescent="0.5">
      <c r="A8" s="4" t="s">
        <v>4</v>
      </c>
      <c r="B8" s="8">
        <f>I7</f>
        <v>0</v>
      </c>
      <c r="C8" s="9">
        <f>B8*4</f>
        <v>0</v>
      </c>
      <c r="F8" t="s">
        <v>29</v>
      </c>
      <c r="H8" s="11">
        <f t="shared" si="0"/>
        <v>0</v>
      </c>
      <c r="I8" s="15">
        <f t="shared" si="1"/>
        <v>0</v>
      </c>
    </row>
    <row r="9" spans="1:11" ht="21" x14ac:dyDescent="0.5">
      <c r="A9" s="4"/>
      <c r="B9" s="5"/>
      <c r="C9" s="9"/>
      <c r="F9" t="s">
        <v>30</v>
      </c>
      <c r="H9" s="11">
        <f t="shared" si="0"/>
        <v>0</v>
      </c>
      <c r="I9" s="15">
        <f t="shared" si="1"/>
        <v>0</v>
      </c>
    </row>
    <row r="10" spans="1:11" ht="21" x14ac:dyDescent="0.5">
      <c r="A10" s="4" t="s">
        <v>5</v>
      </c>
      <c r="B10" s="8">
        <f>I8</f>
        <v>0</v>
      </c>
      <c r="C10" s="9">
        <f>B10*4</f>
        <v>0</v>
      </c>
      <c r="F10" t="s">
        <v>31</v>
      </c>
      <c r="H10" s="11">
        <f t="shared" si="0"/>
        <v>0</v>
      </c>
      <c r="I10" s="16">
        <f t="shared" si="1"/>
        <v>0</v>
      </c>
    </row>
    <row r="11" spans="1:11" ht="21" x14ac:dyDescent="0.5">
      <c r="A11" s="4"/>
      <c r="B11" s="5"/>
      <c r="C11" s="9"/>
      <c r="E11" s="17"/>
      <c r="H11" s="17"/>
    </row>
    <row r="12" spans="1:11" ht="21" x14ac:dyDescent="0.5">
      <c r="A12" s="4" t="s">
        <v>6</v>
      </c>
      <c r="B12" s="8">
        <f>I9</f>
        <v>0</v>
      </c>
      <c r="C12" s="9">
        <f>B12*4</f>
        <v>0</v>
      </c>
      <c r="E12" s="17"/>
      <c r="H12" s="17"/>
    </row>
    <row r="13" spans="1:11" ht="21" x14ac:dyDescent="0.5">
      <c r="A13" s="4"/>
      <c r="B13" s="5"/>
      <c r="C13" s="9"/>
      <c r="H13" s="17"/>
    </row>
    <row r="14" spans="1:11" ht="21" x14ac:dyDescent="0.5">
      <c r="A14" s="4" t="s">
        <v>7</v>
      </c>
      <c r="B14" s="8">
        <f>I10</f>
        <v>0</v>
      </c>
      <c r="C14" s="9">
        <f>B14*4</f>
        <v>0</v>
      </c>
    </row>
    <row r="15" spans="1:11" ht="21" x14ac:dyDescent="0.5">
      <c r="A15" s="4"/>
      <c r="B15" s="5"/>
      <c r="C15" s="9"/>
    </row>
    <row r="16" spans="1:11" ht="21" x14ac:dyDescent="0.5">
      <c r="A16" s="4" t="s">
        <v>8</v>
      </c>
      <c r="B16" s="8">
        <f>I4</f>
        <v>0</v>
      </c>
      <c r="C16" s="9">
        <f>B16*4</f>
        <v>0</v>
      </c>
    </row>
    <row r="17" spans="1:4" ht="21" x14ac:dyDescent="0.5">
      <c r="A17" s="4"/>
      <c r="B17" s="8"/>
      <c r="C17" s="9"/>
    </row>
    <row r="18" spans="1:4" ht="21" x14ac:dyDescent="0.5">
      <c r="A18" s="4" t="s">
        <v>9</v>
      </c>
      <c r="B18" s="8"/>
      <c r="C18" s="9">
        <f>SUM(C4:C16)</f>
        <v>0</v>
      </c>
    </row>
    <row r="19" spans="1:4" ht="21" x14ac:dyDescent="0.5">
      <c r="A19" s="4" t="s">
        <v>10</v>
      </c>
      <c r="B19" s="8"/>
      <c r="C19" s="9">
        <f>C18*265</f>
        <v>0</v>
      </c>
      <c r="D19" t="s">
        <v>11</v>
      </c>
    </row>
    <row r="20" spans="1:4" ht="21" x14ac:dyDescent="0.5">
      <c r="A20" s="4"/>
      <c r="B20" s="8"/>
      <c r="C20" s="18">
        <f>C19/1000</f>
        <v>0</v>
      </c>
      <c r="D20" t="s">
        <v>12</v>
      </c>
    </row>
    <row r="21" spans="1:4" ht="21" x14ac:dyDescent="0.5">
      <c r="A21" s="4" t="s">
        <v>13</v>
      </c>
      <c r="B21" s="8"/>
      <c r="C21" s="19">
        <f>C20*4.5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LOMO</vt:lpstr>
      <vt:lpstr>LENGUA</vt:lpstr>
      <vt:lpstr>FILETE DE PESCADO</vt:lpstr>
      <vt:lpstr>COSTILLA HORNO</vt:lpstr>
      <vt:lpstr>FILETE PECHUGA </vt:lpstr>
      <vt:lpstr>BISTEC PICADO</vt:lpstr>
      <vt:lpstr>CARNE GUISADA</vt:lpstr>
      <vt:lpstr>MONDONGO</vt:lpstr>
      <vt:lpstr>CORVINA</vt:lpstr>
      <vt:lpstr>BACALAO</vt:lpstr>
      <vt:lpstr>GUACHO DE RABITO</vt:lpstr>
      <vt:lpstr>PAVO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Italos restaurante</dc:creator>
  <cp:lastModifiedBy>Edwin Pilisi</cp:lastModifiedBy>
  <dcterms:created xsi:type="dcterms:W3CDTF">2023-11-24T20:18:11Z</dcterms:created>
  <dcterms:modified xsi:type="dcterms:W3CDTF">2025-10-30T14:14:05Z</dcterms:modified>
</cp:coreProperties>
</file>