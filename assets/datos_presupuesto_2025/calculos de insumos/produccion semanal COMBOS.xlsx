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ALOS ADMINISTRACION\PRESUPUESTO NOVIEMBRE 2025 001\calculos de insumos\"/>
    </mc:Choice>
  </mc:AlternateContent>
  <xr:revisionPtr revIDLastSave="0" documentId="13_ncr:1_{1EEBC6CC-AA41-4E33-A835-9DDB8B90F1D8}" xr6:coauthVersionLast="47" xr6:coauthVersionMax="47" xr10:uidLastSave="{00000000-0000-0000-0000-000000000000}"/>
  <bookViews>
    <workbookView xWindow="-110" yWindow="-110" windowWidth="19420" windowHeight="12660" firstSheet="9" activeTab="13" xr2:uid="{00000000-000D-0000-FFFF-FFFF00000000}"/>
  </bookViews>
  <sheets>
    <sheet name="SODAS" sheetId="8" r:id="rId1"/>
    <sheet name="ARROZ" sheetId="2" r:id="rId2"/>
    <sheet name="CHIMICHURRI" sheetId="5" r:id="rId3"/>
    <sheet name="CHIMICHURRI calculo" sheetId="3" r:id="rId4"/>
    <sheet name="PATACONES" sheetId="1" r:id="rId5"/>
    <sheet name="POLLO" sheetId="4" r:id="rId6"/>
    <sheet name="POLLO calculo" sheetId="6" r:id="rId7"/>
    <sheet name="CHULETAS" sheetId="7" r:id="rId8"/>
    <sheet name="CHURRASCO" sheetId="10" r:id="rId9"/>
    <sheet name="COSTILLAS ASADAS" sheetId="12" r:id="rId10"/>
    <sheet name="FILETE DE PECHUGA" sheetId="13" r:id="rId11"/>
    <sheet name="FILETE DE RES " sheetId="14" r:id="rId12"/>
    <sheet name="RINCON" sheetId="15" r:id="rId13"/>
    <sheet name="chorizo parrilla " sheetId="16" r:id="rId14"/>
    <sheet name="yuca" sheetId="18" r:id="rId15"/>
    <sheet name="papitas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F5" i="2"/>
  <c r="G4" i="2"/>
  <c r="F4" i="2"/>
  <c r="B14" i="6" l="1"/>
  <c r="I5" i="17"/>
  <c r="I6" i="17"/>
  <c r="I7" i="17"/>
  <c r="I8" i="17"/>
  <c r="I9" i="17"/>
  <c r="I10" i="17"/>
  <c r="I4" i="17"/>
  <c r="E20" i="18"/>
  <c r="C20" i="18"/>
  <c r="C21" i="18"/>
  <c r="B18" i="6"/>
  <c r="B21" i="8"/>
  <c r="N14" i="2"/>
  <c r="N15" i="2"/>
  <c r="N16" i="2"/>
  <c r="N17" i="2"/>
  <c r="N18" i="2"/>
  <c r="N19" i="2"/>
  <c r="N13" i="2"/>
  <c r="N23" i="2"/>
  <c r="N24" i="2"/>
  <c r="N25" i="2"/>
  <c r="N26" i="2"/>
  <c r="N27" i="2"/>
  <c r="N28" i="2"/>
  <c r="N22" i="2"/>
  <c r="G5" i="13"/>
  <c r="G6" i="13"/>
  <c r="G7" i="13"/>
  <c r="G8" i="13"/>
  <c r="G9" i="13"/>
  <c r="G10" i="13"/>
  <c r="G4" i="13"/>
  <c r="G5" i="14" l="1"/>
  <c r="G6" i="14"/>
  <c r="G7" i="14"/>
  <c r="G8" i="14"/>
  <c r="G9" i="14"/>
  <c r="G10" i="14"/>
  <c r="G4" i="14"/>
  <c r="L5" i="6" l="1"/>
  <c r="M5" i="6" s="1"/>
  <c r="L6" i="6"/>
  <c r="M6" i="6" s="1"/>
  <c r="L7" i="6"/>
  <c r="M7" i="6" s="1"/>
  <c r="L8" i="6"/>
  <c r="M8" i="6" s="1"/>
  <c r="L9" i="6"/>
  <c r="M9" i="6" s="1"/>
  <c r="L10" i="6"/>
  <c r="M10" i="6" s="1"/>
  <c r="L11" i="6"/>
  <c r="M11" i="6" s="1"/>
  <c r="G10" i="18" l="1"/>
  <c r="H10" i="18" s="1"/>
  <c r="B14" i="18" s="1"/>
  <c r="C14" i="18" s="1"/>
  <c r="G9" i="18"/>
  <c r="H9" i="18" s="1"/>
  <c r="B12" i="18" s="1"/>
  <c r="C12" i="18" s="1"/>
  <c r="G8" i="18"/>
  <c r="H8" i="18" s="1"/>
  <c r="B10" i="18" s="1"/>
  <c r="C10" i="18" s="1"/>
  <c r="G7" i="18"/>
  <c r="H7" i="18" s="1"/>
  <c r="B8" i="18" s="1"/>
  <c r="C8" i="18" s="1"/>
  <c r="G6" i="18"/>
  <c r="H6" i="18" s="1"/>
  <c r="B6" i="18" s="1"/>
  <c r="C6" i="18" s="1"/>
  <c r="G5" i="18"/>
  <c r="H5" i="18" s="1"/>
  <c r="B4" i="18" s="1"/>
  <c r="C4" i="18" s="1"/>
  <c r="G4" i="18"/>
  <c r="H4" i="18" s="1"/>
  <c r="B16" i="18" s="1"/>
  <c r="C16" i="18" s="1"/>
  <c r="C18" i="18" l="1"/>
  <c r="C19" i="18" s="1"/>
  <c r="C23" i="18" l="1"/>
  <c r="H5" i="12" l="1"/>
  <c r="H6" i="12"/>
  <c r="H7" i="12"/>
  <c r="H8" i="12"/>
  <c r="H9" i="12"/>
  <c r="H10" i="12"/>
  <c r="H4" i="12"/>
  <c r="G5" i="10"/>
  <c r="G6" i="10"/>
  <c r="G7" i="10"/>
  <c r="G8" i="10"/>
  <c r="G9" i="10"/>
  <c r="G10" i="10"/>
  <c r="G4" i="10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5" i="3"/>
  <c r="N5" i="3" s="1"/>
  <c r="O13" i="2"/>
  <c r="O14" i="2"/>
  <c r="O15" i="2"/>
  <c r="O16" i="2"/>
  <c r="O17" i="2"/>
  <c r="O18" i="2"/>
  <c r="O19" i="2"/>
  <c r="O5" i="2"/>
  <c r="O6" i="2"/>
  <c r="O7" i="2"/>
  <c r="O8" i="2"/>
  <c r="O9" i="2"/>
  <c r="O10" i="2"/>
  <c r="O4" i="2"/>
  <c r="N4" i="2"/>
  <c r="N5" i="2"/>
  <c r="N6" i="2"/>
  <c r="N7" i="2"/>
  <c r="N8" i="2"/>
  <c r="N9" i="2"/>
  <c r="N10" i="2"/>
  <c r="J5" i="14"/>
  <c r="J6" i="14"/>
  <c r="J7" i="14"/>
  <c r="J8" i="14"/>
  <c r="J9" i="14"/>
  <c r="J10" i="14"/>
  <c r="J4" i="14"/>
  <c r="P13" i="2" l="1"/>
  <c r="D18" i="2" s="1"/>
  <c r="G5" i="15"/>
  <c r="G6" i="15"/>
  <c r="G7" i="15"/>
  <c r="G8" i="15"/>
  <c r="G9" i="15"/>
  <c r="G10" i="15"/>
  <c r="G4" i="15"/>
  <c r="J10" i="1"/>
  <c r="J9" i="1"/>
  <c r="J8" i="1"/>
  <c r="J7" i="1"/>
  <c r="J6" i="1"/>
  <c r="J5" i="1"/>
  <c r="J4" i="1"/>
  <c r="E21" i="2" l="1"/>
  <c r="E24" i="2" s="1"/>
  <c r="D21" i="2"/>
  <c r="D24" i="2" s="1"/>
  <c r="H23" i="17"/>
  <c r="F22" i="16"/>
  <c r="B20" i="16" s="1"/>
  <c r="H5" i="16"/>
  <c r="I5" i="16" s="1"/>
  <c r="H6" i="16"/>
  <c r="I6" i="16" s="1"/>
  <c r="H7" i="16"/>
  <c r="I7" i="16" s="1"/>
  <c r="H8" i="16"/>
  <c r="I8" i="16" s="1"/>
  <c r="H9" i="16"/>
  <c r="I9" i="16" s="1"/>
  <c r="H10" i="16"/>
  <c r="I10" i="16" s="1"/>
  <c r="H4" i="16"/>
  <c r="I4" i="16" s="1"/>
  <c r="O28" i="2"/>
  <c r="O27" i="2"/>
  <c r="O26" i="2"/>
  <c r="O25" i="2"/>
  <c r="O24" i="2"/>
  <c r="O23" i="2"/>
  <c r="O22" i="2"/>
  <c r="P22" i="2" s="1"/>
  <c r="D19" i="2"/>
  <c r="D20" i="2" s="1"/>
  <c r="K5" i="1"/>
  <c r="B4" i="1" s="1"/>
  <c r="D4" i="1" s="1"/>
  <c r="K6" i="1"/>
  <c r="B6" i="1" s="1"/>
  <c r="D6" i="1" s="1"/>
  <c r="K8" i="1"/>
  <c r="B10" i="1" s="1"/>
  <c r="D10" i="1" s="1"/>
  <c r="K9" i="1"/>
  <c r="B12" i="1" s="1"/>
  <c r="D12" i="1" s="1"/>
  <c r="K10" i="1"/>
  <c r="B14" i="1" s="1"/>
  <c r="D14" i="1" s="1"/>
  <c r="K7" i="1"/>
  <c r="B8" i="1" s="1"/>
  <c r="D8" i="1" s="1"/>
  <c r="H10" i="15"/>
  <c r="B14" i="15" s="1"/>
  <c r="C14" i="15" s="1"/>
  <c r="H9" i="15"/>
  <c r="B12" i="15" s="1"/>
  <c r="C12" i="15" s="1"/>
  <c r="H8" i="15"/>
  <c r="B10" i="15" s="1"/>
  <c r="C10" i="15" s="1"/>
  <c r="H7" i="15"/>
  <c r="B8" i="15" s="1"/>
  <c r="C8" i="15" s="1"/>
  <c r="H6" i="15"/>
  <c r="B6" i="15" s="1"/>
  <c r="C6" i="15" s="1"/>
  <c r="H5" i="15"/>
  <c r="B4" i="15" s="1"/>
  <c r="C4" i="15" s="1"/>
  <c r="H4" i="15"/>
  <c r="B16" i="15" s="1"/>
  <c r="C16" i="15" s="1"/>
  <c r="B4" i="14"/>
  <c r="C4" i="14" s="1"/>
  <c r="B8" i="14"/>
  <c r="C8" i="14" s="1"/>
  <c r="B10" i="14"/>
  <c r="C10" i="14" s="1"/>
  <c r="B12" i="14"/>
  <c r="C12" i="14" s="1"/>
  <c r="B16" i="14"/>
  <c r="C16" i="14" s="1"/>
  <c r="B14" i="14"/>
  <c r="C14" i="14" s="1"/>
  <c r="B6" i="14"/>
  <c r="C6" i="14" s="1"/>
  <c r="H10" i="13"/>
  <c r="B14" i="13" s="1"/>
  <c r="C14" i="13" s="1"/>
  <c r="H9" i="13"/>
  <c r="B12" i="13" s="1"/>
  <c r="C12" i="13" s="1"/>
  <c r="H8" i="13"/>
  <c r="B10" i="13" s="1"/>
  <c r="C10" i="13" s="1"/>
  <c r="H7" i="13"/>
  <c r="B8" i="13" s="1"/>
  <c r="C8" i="13" s="1"/>
  <c r="H6" i="13"/>
  <c r="B6" i="13" s="1"/>
  <c r="C6" i="13" s="1"/>
  <c r="H5" i="13"/>
  <c r="B4" i="13" s="1"/>
  <c r="C4" i="13" s="1"/>
  <c r="H4" i="13"/>
  <c r="B16" i="13" s="1"/>
  <c r="C16" i="13" s="1"/>
  <c r="I10" i="12"/>
  <c r="B14" i="12" s="1"/>
  <c r="C14" i="12" s="1"/>
  <c r="I9" i="12"/>
  <c r="B12" i="12" s="1"/>
  <c r="C12" i="12" s="1"/>
  <c r="I8" i="12"/>
  <c r="B10" i="12" s="1"/>
  <c r="C10" i="12" s="1"/>
  <c r="I7" i="12"/>
  <c r="B8" i="12" s="1"/>
  <c r="C8" i="12" s="1"/>
  <c r="I6" i="12"/>
  <c r="B6" i="12" s="1"/>
  <c r="C6" i="12" s="1"/>
  <c r="I5" i="12"/>
  <c r="B4" i="12" s="1"/>
  <c r="C4" i="12" s="1"/>
  <c r="I4" i="12"/>
  <c r="B16" i="12" s="1"/>
  <c r="C16" i="12" s="1"/>
  <c r="H10" i="10"/>
  <c r="B14" i="10" s="1"/>
  <c r="C14" i="10" s="1"/>
  <c r="H9" i="10"/>
  <c r="B12" i="10" s="1"/>
  <c r="C12" i="10" s="1"/>
  <c r="H8" i="10"/>
  <c r="B10" i="10" s="1"/>
  <c r="C10" i="10" s="1"/>
  <c r="H7" i="10"/>
  <c r="B8" i="10" s="1"/>
  <c r="C8" i="10" s="1"/>
  <c r="H6" i="10"/>
  <c r="B6" i="10" s="1"/>
  <c r="C6" i="10" s="1"/>
  <c r="H5" i="10"/>
  <c r="B4" i="10" s="1"/>
  <c r="H4" i="10"/>
  <c r="B16" i="10" s="1"/>
  <c r="C16" i="10" s="1"/>
  <c r="C14" i="8"/>
  <c r="C12" i="8"/>
  <c r="C10" i="8"/>
  <c r="C8" i="8"/>
  <c r="C6" i="8"/>
  <c r="C4" i="8"/>
  <c r="C16" i="8"/>
  <c r="P6" i="7"/>
  <c r="K6" i="7" s="1"/>
  <c r="P7" i="7"/>
  <c r="K7" i="7" s="1"/>
  <c r="P8" i="7"/>
  <c r="K8" i="7" s="1"/>
  <c r="P9" i="7"/>
  <c r="K9" i="7" s="1"/>
  <c r="P10" i="7"/>
  <c r="K10" i="7" s="1"/>
  <c r="P11" i="7"/>
  <c r="K11" i="7" s="1"/>
  <c r="P5" i="7"/>
  <c r="K5" i="7" s="1"/>
  <c r="J7" i="7" l="1"/>
  <c r="C6" i="7" s="1"/>
  <c r="J10" i="7"/>
  <c r="C12" i="7" s="1"/>
  <c r="J8" i="7"/>
  <c r="C8" i="7" s="1"/>
  <c r="J11" i="7"/>
  <c r="C14" i="7" s="1"/>
  <c r="J9" i="7"/>
  <c r="C10" i="7" s="1"/>
  <c r="J6" i="7"/>
  <c r="C4" i="7" s="1"/>
  <c r="J5" i="7"/>
  <c r="C16" i="7" s="1"/>
  <c r="B18" i="10"/>
  <c r="E18" i="2"/>
  <c r="E19" i="2" s="1"/>
  <c r="E20" i="2" s="1"/>
  <c r="B18" i="8"/>
  <c r="B19" i="8" s="1"/>
  <c r="B20" i="8" s="1"/>
  <c r="C4" i="10"/>
  <c r="E16" i="10"/>
  <c r="J9" i="17"/>
  <c r="B12" i="17" s="1"/>
  <c r="C12" i="17" s="1"/>
  <c r="J5" i="17"/>
  <c r="B4" i="17" s="1"/>
  <c r="C4" i="17" s="1"/>
  <c r="J7" i="17"/>
  <c r="B8" i="17" s="1"/>
  <c r="C8" i="17" s="1"/>
  <c r="J4" i="17"/>
  <c r="B16" i="17" s="1"/>
  <c r="C16" i="17" s="1"/>
  <c r="J6" i="17"/>
  <c r="B6" i="17" s="1"/>
  <c r="C6" i="17" s="1"/>
  <c r="J8" i="17"/>
  <c r="B10" i="17" s="1"/>
  <c r="C10" i="17" s="1"/>
  <c r="J10" i="17"/>
  <c r="B14" i="17" s="1"/>
  <c r="C14" i="17" s="1"/>
  <c r="J9" i="16"/>
  <c r="B12" i="16" s="1"/>
  <c r="C12" i="16" s="1"/>
  <c r="J5" i="16"/>
  <c r="B4" i="16" s="1"/>
  <c r="J8" i="16"/>
  <c r="B10" i="16" s="1"/>
  <c r="C10" i="16" s="1"/>
  <c r="J4" i="16"/>
  <c r="B16" i="16" s="1"/>
  <c r="C16" i="16" s="1"/>
  <c r="J7" i="16"/>
  <c r="B8" i="16" s="1"/>
  <c r="C8" i="16" s="1"/>
  <c r="J10" i="16"/>
  <c r="B14" i="16" s="1"/>
  <c r="C14" i="16" s="1"/>
  <c r="J6" i="16"/>
  <c r="B6" i="16" s="1"/>
  <c r="C6" i="16" s="1"/>
  <c r="C18" i="15"/>
  <c r="C19" i="15" s="1"/>
  <c r="C18" i="14"/>
  <c r="C18" i="13"/>
  <c r="C18" i="12"/>
  <c r="C19" i="12" s="1"/>
  <c r="J12" i="8"/>
  <c r="Q6" i="6"/>
  <c r="Q7" i="6"/>
  <c r="Q8" i="6"/>
  <c r="Q9" i="6"/>
  <c r="Q10" i="6"/>
  <c r="Q11" i="6"/>
  <c r="Q5" i="6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5" i="6"/>
  <c r="H5" i="6" s="1"/>
  <c r="B6" i="6" l="1"/>
  <c r="C19" i="14"/>
  <c r="C20" i="14" s="1"/>
  <c r="B11" i="6"/>
  <c r="B5" i="6"/>
  <c r="B10" i="6"/>
  <c r="C12" i="4" s="1"/>
  <c r="B9" i="6"/>
  <c r="C10" i="4" s="1"/>
  <c r="B8" i="6"/>
  <c r="C8" i="4" s="1"/>
  <c r="B7" i="6"/>
  <c r="C6" i="4" s="1"/>
  <c r="C20" i="8"/>
  <c r="C18" i="8"/>
  <c r="C4" i="16"/>
  <c r="C18" i="16" s="1"/>
  <c r="B18" i="16"/>
  <c r="B19" i="16" s="1"/>
  <c r="C18" i="10"/>
  <c r="C19" i="10" s="1"/>
  <c r="C20" i="10" s="1"/>
  <c r="E20" i="10" s="1"/>
  <c r="C4" i="4"/>
  <c r="C14" i="4"/>
  <c r="C20" i="15"/>
  <c r="C18" i="17"/>
  <c r="C19" i="17" s="1"/>
  <c r="C19" i="13"/>
  <c r="C20" i="13" s="1"/>
  <c r="C21" i="13" s="1"/>
  <c r="C20" i="12"/>
  <c r="E20" i="12" s="1"/>
  <c r="C18" i="7"/>
  <c r="E18" i="7" s="1"/>
  <c r="F18" i="7" s="1"/>
  <c r="O10" i="3"/>
  <c r="P10" i="3" s="1"/>
  <c r="C12" i="5" s="1"/>
  <c r="O6" i="3"/>
  <c r="O11" i="3"/>
  <c r="P11" i="3" s="1"/>
  <c r="C14" i="5" s="1"/>
  <c r="O7" i="3"/>
  <c r="O5" i="3"/>
  <c r="P5" i="3" s="1"/>
  <c r="C16" i="5" s="1"/>
  <c r="O8" i="3"/>
  <c r="O9" i="3"/>
  <c r="P4" i="2"/>
  <c r="C16" i="2" s="1"/>
  <c r="P5" i="2"/>
  <c r="C4" i="2" s="1"/>
  <c r="P6" i="2"/>
  <c r="C6" i="2" s="1"/>
  <c r="P7" i="2"/>
  <c r="C8" i="2" s="1"/>
  <c r="P8" i="2"/>
  <c r="C10" i="2" s="1"/>
  <c r="P9" i="2"/>
  <c r="C12" i="2" s="1"/>
  <c r="P10" i="2"/>
  <c r="C14" i="2" s="1"/>
  <c r="K4" i="1"/>
  <c r="B16" i="1" s="1"/>
  <c r="E20" i="14" l="1"/>
  <c r="C21" i="14"/>
  <c r="B13" i="6"/>
  <c r="C21" i="10"/>
  <c r="E22" i="10" s="1"/>
  <c r="C22" i="13"/>
  <c r="E21" i="13"/>
  <c r="C21" i="15"/>
  <c r="C23" i="15" s="1"/>
  <c r="E20" i="15"/>
  <c r="C21" i="12"/>
  <c r="E21" i="12" s="1"/>
  <c r="C19" i="7"/>
  <c r="C20" i="7" s="1"/>
  <c r="C21" i="7" s="1"/>
  <c r="E21" i="7" s="1"/>
  <c r="B18" i="2"/>
  <c r="B19" i="2" s="1"/>
  <c r="B20" i="2" s="1"/>
  <c r="B21" i="2" s="1"/>
  <c r="B24" i="2" s="1"/>
  <c r="P6" i="3"/>
  <c r="C4" i="5" s="1"/>
  <c r="C16" i="4"/>
  <c r="P8" i="3"/>
  <c r="C8" i="5" s="1"/>
  <c r="P7" i="3"/>
  <c r="C6" i="5" s="1"/>
  <c r="P9" i="3"/>
  <c r="C10" i="5" s="1"/>
  <c r="C21" i="16"/>
  <c r="C19" i="16"/>
  <c r="C20" i="17"/>
  <c r="C21" i="17" s="1"/>
  <c r="C22" i="17" s="1"/>
  <c r="C24" i="17" s="1"/>
  <c r="D16" i="1"/>
  <c r="D24" i="17" l="1"/>
  <c r="D22" i="17"/>
  <c r="B15" i="6"/>
  <c r="B16" i="6" s="1"/>
  <c r="B17" i="6" s="1"/>
  <c r="B18" i="5"/>
  <c r="B19" i="5" s="1"/>
  <c r="B20" i="5" s="1"/>
  <c r="B18" i="1"/>
  <c r="B20" i="6" l="1"/>
  <c r="B19" i="1"/>
  <c r="B20" i="1" s="1"/>
  <c r="B21" i="1" s="1"/>
  <c r="C21" i="1" s="1"/>
  <c r="C18" i="1"/>
</calcChain>
</file>

<file path=xl/sharedStrings.xml><?xml version="1.0" encoding="utf-8"?>
<sst xmlns="http://schemas.openxmlformats.org/spreadsheetml/2006/main" count="395" uniqueCount="137">
  <si>
    <t xml:space="preserve">ARROZ PRODUCCION SEMANAL </t>
  </si>
  <si>
    <t xml:space="preserve">LUNES </t>
  </si>
  <si>
    <t xml:space="preserve">MARTES </t>
  </si>
  <si>
    <t xml:space="preserve">MIERCOLES </t>
  </si>
  <si>
    <t xml:space="preserve">JUEVES </t>
  </si>
  <si>
    <t xml:space="preserve">VIERNES </t>
  </si>
  <si>
    <t xml:space="preserve">SABADO </t>
  </si>
  <si>
    <t xml:space="preserve">DOMINGO </t>
  </si>
  <si>
    <t xml:space="preserve">Cantidad </t>
  </si>
  <si>
    <t>menestra</t>
  </si>
  <si>
    <t>lentejas</t>
  </si>
  <si>
    <t>porotos</t>
  </si>
  <si>
    <t xml:space="preserve">CHIMICHURRI PRODUCCION SEMANAL </t>
  </si>
  <si>
    <t xml:space="preserve">PATACONES PRODUCCION SEMANAL </t>
  </si>
  <si>
    <t>medida</t>
  </si>
  <si>
    <t>paq</t>
  </si>
  <si>
    <t>dom</t>
  </si>
  <si>
    <t>lun.</t>
  </si>
  <si>
    <t>mar.</t>
  </si>
  <si>
    <t>mié.</t>
  </si>
  <si>
    <t>jue.</t>
  </si>
  <si>
    <t>vie.</t>
  </si>
  <si>
    <t>sáb.</t>
  </si>
  <si>
    <t>entero</t>
  </si>
  <si>
    <t xml:space="preserve">combo1 </t>
  </si>
  <si>
    <t>combo2</t>
  </si>
  <si>
    <t>combo3</t>
  </si>
  <si>
    <t>combo4</t>
  </si>
  <si>
    <t>combo5</t>
  </si>
  <si>
    <t>combo6</t>
  </si>
  <si>
    <t>combo7</t>
  </si>
  <si>
    <t>combo8</t>
  </si>
  <si>
    <t>combo9</t>
  </si>
  <si>
    <t>total</t>
  </si>
  <si>
    <t>conver OZ</t>
  </si>
  <si>
    <t>conver L</t>
  </si>
  <si>
    <t>cuarto</t>
  </si>
  <si>
    <t>medio</t>
  </si>
  <si>
    <t>promo1</t>
  </si>
  <si>
    <t>promo2</t>
  </si>
  <si>
    <t>enteros</t>
  </si>
  <si>
    <t xml:space="preserve">TOTAL </t>
  </si>
  <si>
    <t>conver MASOS</t>
  </si>
  <si>
    <t>masos</t>
  </si>
  <si>
    <t xml:space="preserve">POLLO PRODUCCION SEMANAL </t>
  </si>
  <si>
    <t xml:space="preserve"> </t>
  </si>
  <si>
    <t>ORDENES</t>
  </si>
  <si>
    <t>CANT</t>
  </si>
  <si>
    <t>UNIDADES</t>
  </si>
  <si>
    <t xml:space="preserve">CHULETA PRODUCCION SEMANAL </t>
  </si>
  <si>
    <t>orden</t>
  </si>
  <si>
    <t xml:space="preserve">sub total </t>
  </si>
  <si>
    <t xml:space="preserve">COCA </t>
  </si>
  <si>
    <t xml:space="preserve">COCA ZERO </t>
  </si>
  <si>
    <t xml:space="preserve">COCA LITRO </t>
  </si>
  <si>
    <t>FRESA</t>
  </si>
  <si>
    <t>FRESCA</t>
  </si>
  <si>
    <t>MANZANA</t>
  </si>
  <si>
    <t xml:space="preserve">UVA </t>
  </si>
  <si>
    <t>GINGER</t>
  </si>
  <si>
    <t>PROM MES DIC</t>
  </si>
  <si>
    <t xml:space="preserve">SUMATORIA </t>
  </si>
  <si>
    <t xml:space="preserve">PROM X LB </t>
  </si>
  <si>
    <t>PROM X KG</t>
  </si>
  <si>
    <t xml:space="preserve">COSTO X KG DIC </t>
  </si>
  <si>
    <t>KG</t>
  </si>
  <si>
    <t>LB</t>
  </si>
  <si>
    <t xml:space="preserve">CHURRASCO PRODUCCION SEMANAL </t>
  </si>
  <si>
    <t>MENSUAL</t>
  </si>
  <si>
    <t>TOTAL</t>
  </si>
  <si>
    <t>TOTAL COSTO</t>
  </si>
  <si>
    <t xml:space="preserve">COSTILLAS PRODUCCION SEMANAL </t>
  </si>
  <si>
    <t>TOTAL X SERVIDA</t>
  </si>
  <si>
    <t>G</t>
  </si>
  <si>
    <t xml:space="preserve">CANT U </t>
  </si>
  <si>
    <t>PATACONES</t>
  </si>
  <si>
    <t>TOTAL MENSUAL</t>
  </si>
  <si>
    <t>TOTAL MEN PLATANOS</t>
  </si>
  <si>
    <t>insertidumbre</t>
  </si>
  <si>
    <t>fecha</t>
  </si>
  <si>
    <t xml:space="preserve">SODAS PRODUCCION SEMANAL </t>
  </si>
  <si>
    <t xml:space="preserve">TOTAL CAJAS </t>
  </si>
  <si>
    <t>TOTAL BOLSAS</t>
  </si>
  <si>
    <t>TOTAL MASOS</t>
  </si>
  <si>
    <t xml:space="preserve">TOTAL BULTOS </t>
  </si>
  <si>
    <t xml:space="preserve">COSTO TOTAL </t>
  </si>
  <si>
    <t>CANT BULTOS</t>
  </si>
  <si>
    <t>PRECIO X BULTO</t>
  </si>
  <si>
    <t>COSTO X MASO</t>
  </si>
  <si>
    <t>COSTO TOTAL</t>
  </si>
  <si>
    <t>PRECIO</t>
  </si>
  <si>
    <t>CIENTO</t>
  </si>
  <si>
    <t>TOTAL MENSUAL ORDENES</t>
  </si>
  <si>
    <t>PESO GRAMOS</t>
  </si>
  <si>
    <t>kg</t>
  </si>
  <si>
    <t>g</t>
  </si>
  <si>
    <t xml:space="preserve">costo x kg </t>
  </si>
  <si>
    <t>total en g</t>
  </si>
  <si>
    <t xml:space="preserve">precio x kg </t>
  </si>
  <si>
    <t>precio x kg</t>
  </si>
  <si>
    <t xml:space="preserve">precio x lb </t>
  </si>
  <si>
    <t>lb</t>
  </si>
  <si>
    <t xml:space="preserve">paquete </t>
  </si>
  <si>
    <t>parrillada</t>
  </si>
  <si>
    <t>unidades</t>
  </si>
  <si>
    <t xml:space="preserve">precio x u </t>
  </si>
  <si>
    <t>caja</t>
  </si>
  <si>
    <t>lb paqu</t>
  </si>
  <si>
    <t>precio x caja</t>
  </si>
  <si>
    <t>total x g</t>
  </si>
  <si>
    <t>total x kg</t>
  </si>
  <si>
    <t xml:space="preserve">total de cajas </t>
  </si>
  <si>
    <t>arroz</t>
  </si>
  <si>
    <t>len</t>
  </si>
  <si>
    <t>poro</t>
  </si>
  <si>
    <t>cant de paq</t>
  </si>
  <si>
    <t>u</t>
  </si>
  <si>
    <t>PROM 1/2</t>
  </si>
  <si>
    <t>PROM ENTERO</t>
  </si>
  <si>
    <t>ORDEN</t>
  </si>
  <si>
    <t xml:space="preserve">60 DOLARES LA CAJA DE 15 PAQ </t>
  </si>
  <si>
    <t>23/02/2024</t>
  </si>
  <si>
    <t xml:space="preserve">yuca PRODUCCION SEMANAL </t>
  </si>
  <si>
    <t xml:space="preserve">papitas PRODUCCION SEMANAL </t>
  </si>
  <si>
    <t xml:space="preserve">10 lb pesa cada bolsa </t>
  </si>
  <si>
    <t>27/03/2024</t>
  </si>
  <si>
    <t>semana</t>
  </si>
  <si>
    <t xml:space="preserve">bolsas x sem </t>
  </si>
  <si>
    <t xml:space="preserve"> u x sem </t>
  </si>
  <si>
    <t xml:space="preserve">PLATANO MADURO </t>
  </si>
  <si>
    <t>29-04-24</t>
  </si>
  <si>
    <t>29/04/2024</t>
  </si>
  <si>
    <t xml:space="preserve">FILETE DE PECH PRODUCCION SEMANAL </t>
  </si>
  <si>
    <t>29-04-2024</t>
  </si>
  <si>
    <t>INDV</t>
  </si>
  <si>
    <t xml:space="preserve">COMBO 7 </t>
  </si>
  <si>
    <t>xsem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</si>
</sst>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B/.&quot;* #,##0.00_-;\-&quot;B/.&quot;* #,##0.00_-;_-&quot;B/.&quot;* &quot;-&quot;??_-;_-@_-"/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vertical="center" wrapText="1" shrinkToFit="1" readingOrder="1"/>
    </xf>
    <xf numFmtId="0" fontId="1" fillId="0" borderId="0" xfId="0" applyFont="1" applyAlignment="1">
      <alignment horizontal="center"/>
    </xf>
    <xf numFmtId="1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1" xfId="0" applyBorder="1"/>
    <xf numFmtId="1" fontId="2" fillId="0" borderId="0" xfId="0" applyNumberFormat="1" applyFont="1" applyAlignment="1">
      <alignment vertical="center" wrapText="1" shrinkToFit="1" readingOrder="1"/>
    </xf>
    <xf numFmtId="0" fontId="0" fillId="0" borderId="7" xfId="0" applyBorder="1"/>
    <xf numFmtId="2" fontId="2" fillId="0" borderId="4" xfId="0" applyNumberFormat="1" applyFont="1" applyBorder="1" applyAlignment="1">
      <alignment vertical="center" wrapText="1" shrinkToFit="1" readingOrder="1"/>
    </xf>
    <xf numFmtId="1" fontId="2" fillId="0" borderId="5" xfId="0" applyNumberFormat="1" applyFont="1" applyBorder="1" applyAlignment="1">
      <alignment vertical="center" wrapText="1" shrinkToFit="1" readingOrder="1"/>
    </xf>
    <xf numFmtId="1" fontId="2" fillId="0" borderId="9" xfId="0" applyNumberFormat="1" applyFont="1" applyBorder="1" applyAlignment="1">
      <alignment vertical="center" wrapText="1" shrinkToFit="1" readingOrder="1"/>
    </xf>
    <xf numFmtId="1" fontId="0" fillId="0" borderId="5" xfId="0" applyNumberFormat="1" applyBorder="1"/>
    <xf numFmtId="2" fontId="2" fillId="0" borderId="8" xfId="0" applyNumberFormat="1" applyFont="1" applyBorder="1" applyAlignment="1">
      <alignment vertical="center" wrapText="1" shrinkToFit="1" readingOrder="1"/>
    </xf>
    <xf numFmtId="2" fontId="2" fillId="0" borderId="0" xfId="0" applyNumberFormat="1" applyFont="1" applyAlignment="1">
      <alignment horizontal="right" vertical="center" wrapText="1" shrinkToFit="1" readingOrder="1"/>
    </xf>
    <xf numFmtId="2" fontId="2" fillId="0" borderId="1" xfId="0" applyNumberFormat="1" applyFont="1" applyBorder="1" applyAlignment="1">
      <alignment horizontal="right" vertical="center" wrapText="1" shrinkToFit="1" readingOrder="1"/>
    </xf>
    <xf numFmtId="1" fontId="0" fillId="0" borderId="1" xfId="0" applyNumberFormat="1" applyBorder="1"/>
    <xf numFmtId="2" fontId="2" fillId="0" borderId="10" xfId="0" applyNumberFormat="1" applyFont="1" applyBorder="1" applyAlignment="1">
      <alignment horizontal="right" vertical="center" wrapText="1" shrinkToFit="1" readingOrder="1"/>
    </xf>
    <xf numFmtId="1" fontId="0" fillId="0" borderId="6" xfId="0" applyNumberFormat="1" applyBorder="1"/>
    <xf numFmtId="1" fontId="0" fillId="0" borderId="11" xfId="0" applyNumberFormat="1" applyBorder="1"/>
    <xf numFmtId="1" fontId="2" fillId="0" borderId="1" xfId="0" applyNumberFormat="1" applyFont="1" applyBorder="1" applyAlignment="1">
      <alignment vertical="center" wrapText="1" shrinkToFit="1" readingOrder="1"/>
    </xf>
    <xf numFmtId="2" fontId="2" fillId="0" borderId="2" xfId="0" applyNumberFormat="1" applyFont="1" applyBorder="1" applyAlignment="1">
      <alignment vertical="center" wrapText="1" shrinkToFit="1" readingOrder="1"/>
    </xf>
    <xf numFmtId="2" fontId="2" fillId="0" borderId="7" xfId="0" applyNumberFormat="1" applyFont="1" applyBorder="1" applyAlignment="1">
      <alignment vertical="center" wrapText="1" shrinkToFit="1" readingOrder="1"/>
    </xf>
    <xf numFmtId="2" fontId="2" fillId="0" borderId="5" xfId="0" applyNumberFormat="1" applyFont="1" applyBorder="1" applyAlignment="1">
      <alignment vertical="center" wrapText="1" shrinkToFit="1" readingOrder="1"/>
    </xf>
    <xf numFmtId="2" fontId="2" fillId="0" borderId="9" xfId="0" applyNumberFormat="1" applyFont="1" applyBorder="1" applyAlignment="1">
      <alignment vertical="center" wrapText="1" shrinkToFit="1" readingOrder="1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12" xfId="0" applyNumberFormat="1" applyBorder="1"/>
    <xf numFmtId="1" fontId="3" fillId="0" borderId="12" xfId="0" applyNumberFormat="1" applyFont="1" applyBorder="1" applyAlignment="1">
      <alignment horizontal="center"/>
    </xf>
    <xf numFmtId="1" fontId="3" fillId="0" borderId="12" xfId="0" applyNumberFormat="1" applyFont="1" applyBorder="1"/>
    <xf numFmtId="14" fontId="5" fillId="0" borderId="12" xfId="0" applyNumberFormat="1" applyFont="1" applyBorder="1"/>
    <xf numFmtId="2" fontId="2" fillId="0" borderId="13" xfId="0" applyNumberFormat="1" applyFont="1" applyBorder="1" applyAlignment="1">
      <alignment vertical="center" wrapText="1" shrinkToFit="1" readingOrder="1"/>
    </xf>
    <xf numFmtId="0" fontId="0" fillId="0" borderId="15" xfId="0" applyBorder="1"/>
    <xf numFmtId="0" fontId="0" fillId="0" borderId="16" xfId="0" applyBorder="1"/>
    <xf numFmtId="2" fontId="2" fillId="0" borderId="14" xfId="0" applyNumberFormat="1" applyFont="1" applyBorder="1" applyAlignment="1">
      <alignment vertical="center" wrapText="1" shrinkToFit="1" readingOrder="1"/>
    </xf>
    <xf numFmtId="0" fontId="5" fillId="0" borderId="0" xfId="0" applyFont="1"/>
    <xf numFmtId="1" fontId="5" fillId="0" borderId="0" xfId="0" applyNumberFormat="1" applyFont="1"/>
    <xf numFmtId="44" fontId="5" fillId="0" borderId="0" xfId="1" applyFont="1"/>
    <xf numFmtId="0" fontId="0" fillId="0" borderId="17" xfId="0" applyBorder="1"/>
    <xf numFmtId="0" fontId="1" fillId="0" borderId="17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2" fontId="2" fillId="0" borderId="1" xfId="0" applyNumberFormat="1" applyFont="1" applyBorder="1" applyAlignment="1">
      <alignment vertical="center" wrapText="1" shrinkToFit="1" readingOrder="1"/>
    </xf>
    <xf numFmtId="2" fontId="6" fillId="0" borderId="1" xfId="0" applyNumberFormat="1" applyFont="1" applyBorder="1" applyAlignment="1">
      <alignment vertical="center" wrapText="1" shrinkToFit="1" readingOrder="1"/>
    </xf>
    <xf numFmtId="164" fontId="0" fillId="0" borderId="1" xfId="0" applyNumberFormat="1" applyBorder="1"/>
    <xf numFmtId="0" fontId="1" fillId="0" borderId="18" xfId="0" applyFont="1" applyBorder="1"/>
    <xf numFmtId="1" fontId="1" fillId="0" borderId="18" xfId="0" applyNumberFormat="1" applyFont="1" applyBorder="1" applyAlignment="1">
      <alignment horizontal="center"/>
    </xf>
    <xf numFmtId="0" fontId="1" fillId="0" borderId="19" xfId="0" applyFont="1" applyBorder="1"/>
    <xf numFmtId="1" fontId="1" fillId="0" borderId="16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vertical="center" wrapText="1" shrinkToFit="1" readingOrder="1"/>
    </xf>
    <xf numFmtId="165" fontId="0" fillId="0" borderId="1" xfId="0" applyNumberFormat="1" applyBorder="1"/>
    <xf numFmtId="1" fontId="0" fillId="0" borderId="9" xfId="0" applyNumberFormat="1" applyBorder="1"/>
    <xf numFmtId="44" fontId="0" fillId="0" borderId="0" xfId="1" applyFont="1"/>
    <xf numFmtId="44" fontId="3" fillId="0" borderId="0" xfId="1" applyFont="1" applyAlignment="1">
      <alignment horizontal="center"/>
    </xf>
    <xf numFmtId="44" fontId="0" fillId="0" borderId="1" xfId="1" applyFont="1" applyBorder="1"/>
    <xf numFmtId="44" fontId="3" fillId="0" borderId="1" xfId="1" applyFont="1" applyBorder="1"/>
    <xf numFmtId="44" fontId="5" fillId="0" borderId="1" xfId="1" applyFont="1" applyBorder="1" applyAlignment="1">
      <alignment horizontal="center"/>
    </xf>
    <xf numFmtId="0" fontId="8" fillId="0" borderId="0" xfId="0" applyFont="1"/>
    <xf numFmtId="1" fontId="5" fillId="0" borderId="1" xfId="0" applyNumberFormat="1" applyFont="1" applyBorder="1"/>
    <xf numFmtId="0" fontId="5" fillId="0" borderId="1" xfId="0" applyFont="1" applyBorder="1"/>
    <xf numFmtId="44" fontId="1" fillId="0" borderId="16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17" xfId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44" fontId="1" fillId="0" borderId="13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44" fontId="0" fillId="0" borderId="8" xfId="1" applyFont="1" applyBorder="1"/>
    <xf numFmtId="0" fontId="0" fillId="0" borderId="9" xfId="0" applyBorder="1"/>
    <xf numFmtId="44" fontId="0" fillId="0" borderId="1" xfId="0" applyNumberFormat="1" applyBorder="1"/>
    <xf numFmtId="165" fontId="0" fillId="0" borderId="1" xfId="0" applyNumberFormat="1" applyBorder="1" applyAlignment="1">
      <alignment horizontal="center"/>
    </xf>
    <xf numFmtId="44" fontId="0" fillId="0" borderId="0" xfId="0" applyNumberFormat="1"/>
    <xf numFmtId="0" fontId="5" fillId="0" borderId="0" xfId="0" applyFont="1" applyAlignment="1">
      <alignment horizontal="center"/>
    </xf>
    <xf numFmtId="2" fontId="2" fillId="0" borderId="3" xfId="0" applyNumberFormat="1" applyFont="1" applyBorder="1" applyAlignment="1">
      <alignment vertical="center" wrapText="1" shrinkToFit="1" readingOrder="1"/>
    </xf>
    <xf numFmtId="2" fontId="2" fillId="0" borderId="0" xfId="0" applyNumberFormat="1" applyFont="1" applyBorder="1" applyAlignment="1">
      <alignment vertical="center" wrapText="1" shrinkToFit="1" readingOrder="1"/>
    </xf>
    <xf numFmtId="0" fontId="1" fillId="0" borderId="12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opLeftCell="A4" workbookViewId="0">
      <selection activeCell="C19" sqref="C19"/>
    </sheetView>
  </sheetViews>
  <sheetFormatPr baseColWidth="10" defaultRowHeight="14.5" x14ac:dyDescent="0.35"/>
  <cols>
    <col min="1" max="1" width="22.453125" bestFit="1" customWidth="1"/>
    <col min="2" max="2" width="20.1796875" customWidth="1"/>
    <col min="3" max="3" width="12.81640625" bestFit="1" customWidth="1"/>
    <col min="4" max="4" width="16.1796875" bestFit="1" customWidth="1"/>
    <col min="10" max="10" width="8" bestFit="1" customWidth="1"/>
    <col min="11" max="11" width="3.1796875" customWidth="1"/>
  </cols>
  <sheetData>
    <row r="1" spans="1:18" x14ac:dyDescent="0.35">
      <c r="A1" s="33"/>
      <c r="B1" s="33"/>
      <c r="C1" s="33"/>
      <c r="D1" s="33"/>
    </row>
    <row r="2" spans="1:18" ht="21" x14ac:dyDescent="0.5">
      <c r="A2" s="28"/>
      <c r="B2" s="29" t="s">
        <v>80</v>
      </c>
      <c r="C2" s="28"/>
      <c r="D2" s="37" t="s">
        <v>131</v>
      </c>
      <c r="E2" s="1"/>
    </row>
    <row r="3" spans="1:18" ht="21" x14ac:dyDescent="0.5">
      <c r="A3" s="28"/>
      <c r="B3" s="28"/>
      <c r="C3" s="30" t="s">
        <v>8</v>
      </c>
      <c r="D3" s="30"/>
      <c r="E3" s="5"/>
    </row>
    <row r="4" spans="1:18" ht="21" x14ac:dyDescent="0.5">
      <c r="A4" s="28" t="s">
        <v>1</v>
      </c>
      <c r="B4" s="28"/>
      <c r="C4" s="31">
        <f>J6</f>
        <v>86.577826512000001</v>
      </c>
      <c r="D4" s="32" t="s">
        <v>48</v>
      </c>
      <c r="E4" s="6"/>
      <c r="G4" s="10"/>
      <c r="H4" s="2"/>
      <c r="I4" s="38"/>
      <c r="J4" s="41" t="s">
        <v>41</v>
      </c>
      <c r="K4" s="2"/>
      <c r="L4" s="2" t="s">
        <v>52</v>
      </c>
      <c r="M4" s="2" t="s">
        <v>53</v>
      </c>
      <c r="N4" s="2" t="s">
        <v>55</v>
      </c>
      <c r="O4" s="2" t="s">
        <v>57</v>
      </c>
      <c r="P4" s="2" t="s">
        <v>58</v>
      </c>
      <c r="Q4" s="2" t="s">
        <v>56</v>
      </c>
      <c r="R4" s="2" t="s">
        <v>59</v>
      </c>
    </row>
    <row r="5" spans="1:18" ht="21" x14ac:dyDescent="0.5">
      <c r="A5" s="28"/>
      <c r="B5" s="28"/>
      <c r="C5" s="29"/>
      <c r="D5" s="32"/>
      <c r="E5" s="6"/>
      <c r="I5" s="39" t="s">
        <v>16</v>
      </c>
      <c r="J5">
        <v>123.99231535199999</v>
      </c>
    </row>
    <row r="6" spans="1:18" ht="21" x14ac:dyDescent="0.5">
      <c r="A6" s="28" t="s">
        <v>2</v>
      </c>
      <c r="B6" s="28"/>
      <c r="C6" s="31">
        <f>J7</f>
        <v>87.137295504000008</v>
      </c>
      <c r="D6" s="32" t="s">
        <v>48</v>
      </c>
      <c r="E6" s="6"/>
      <c r="I6" s="39" t="s">
        <v>17</v>
      </c>
      <c r="J6">
        <v>86.577826512000001</v>
      </c>
    </row>
    <row r="7" spans="1:18" ht="21" x14ac:dyDescent="0.5">
      <c r="A7" s="28"/>
      <c r="B7" s="28"/>
      <c r="C7" s="29"/>
      <c r="D7" s="32"/>
      <c r="E7" s="6"/>
      <c r="I7" s="39" t="s">
        <v>18</v>
      </c>
      <c r="J7">
        <v>87.137295504000008</v>
      </c>
      <c r="N7" s="4"/>
    </row>
    <row r="8" spans="1:18" ht="21" x14ac:dyDescent="0.5">
      <c r="A8" s="28" t="s">
        <v>3</v>
      </c>
      <c r="B8" s="28"/>
      <c r="C8" s="31">
        <f>J8</f>
        <v>93.268143207999984</v>
      </c>
      <c r="D8" s="32" t="s">
        <v>48</v>
      </c>
      <c r="E8" s="6"/>
      <c r="I8" s="39" t="s">
        <v>19</v>
      </c>
      <c r="J8">
        <v>93.268143207999984</v>
      </c>
      <c r="N8" s="4"/>
    </row>
    <row r="9" spans="1:18" ht="21" x14ac:dyDescent="0.5">
      <c r="A9" s="28"/>
      <c r="B9" s="28"/>
      <c r="C9" s="29"/>
      <c r="D9" s="32"/>
      <c r="E9" s="6"/>
      <c r="I9" s="39" t="s">
        <v>20</v>
      </c>
      <c r="J9">
        <v>96.391845079999996</v>
      </c>
      <c r="N9" s="4"/>
    </row>
    <row r="10" spans="1:18" ht="21" x14ac:dyDescent="0.5">
      <c r="A10" s="28" t="s">
        <v>4</v>
      </c>
      <c r="B10" s="28"/>
      <c r="C10" s="31">
        <f>J9</f>
        <v>96.391845079999996</v>
      </c>
      <c r="D10" s="32" t="s">
        <v>48</v>
      </c>
      <c r="E10" s="6"/>
      <c r="I10" s="39" t="s">
        <v>21</v>
      </c>
      <c r="J10">
        <v>110.308636256</v>
      </c>
      <c r="N10" s="4"/>
    </row>
    <row r="11" spans="1:18" ht="21" x14ac:dyDescent="0.5">
      <c r="A11" s="28"/>
      <c r="B11" s="28"/>
      <c r="C11" s="29"/>
      <c r="D11" s="32"/>
      <c r="E11" s="6"/>
      <c r="I11" s="40" t="s">
        <v>22</v>
      </c>
      <c r="J11">
        <v>158.00336782400001</v>
      </c>
      <c r="N11" s="4"/>
    </row>
    <row r="12" spans="1:18" ht="21" x14ac:dyDescent="0.5">
      <c r="A12" s="28" t="s">
        <v>5</v>
      </c>
      <c r="B12" s="28"/>
      <c r="C12" s="31">
        <f>J10</f>
        <v>110.308636256</v>
      </c>
      <c r="D12" s="32" t="s">
        <v>48</v>
      </c>
      <c r="E12" s="6"/>
      <c r="I12" s="41" t="s">
        <v>41</v>
      </c>
      <c r="J12" s="4">
        <f>SUM(J5:J11)</f>
        <v>755.67942973599997</v>
      </c>
      <c r="K12" s="4"/>
    </row>
    <row r="13" spans="1:18" ht="21" x14ac:dyDescent="0.5">
      <c r="A13" s="28"/>
      <c r="B13" s="28"/>
      <c r="C13" s="29"/>
      <c r="D13" s="32"/>
      <c r="E13" s="6"/>
      <c r="I13" s="4"/>
      <c r="J13" s="4"/>
      <c r="K13" s="4"/>
    </row>
    <row r="14" spans="1:18" ht="21" x14ac:dyDescent="0.5">
      <c r="A14" s="28" t="s">
        <v>6</v>
      </c>
      <c r="B14" s="28"/>
      <c r="C14" s="31">
        <f>J11</f>
        <v>158.00336782400001</v>
      </c>
      <c r="D14" s="32" t="s">
        <v>48</v>
      </c>
      <c r="E14" s="6"/>
      <c r="I14" s="41" t="s">
        <v>54</v>
      </c>
    </row>
    <row r="15" spans="1:18" ht="21" x14ac:dyDescent="0.5">
      <c r="A15" s="28"/>
      <c r="B15" s="28"/>
      <c r="C15" s="29"/>
      <c r="D15" s="32"/>
      <c r="E15" s="6"/>
      <c r="I15" s="4"/>
    </row>
    <row r="16" spans="1:18" ht="21" x14ac:dyDescent="0.5">
      <c r="A16" s="28" t="s">
        <v>7</v>
      </c>
      <c r="B16" s="28"/>
      <c r="C16" s="31">
        <f>J5</f>
        <v>123.99231535199999</v>
      </c>
      <c r="D16" s="32" t="s">
        <v>48</v>
      </c>
      <c r="E16" s="6"/>
    </row>
    <row r="17" spans="1:3" ht="21" x14ac:dyDescent="0.5">
      <c r="A17" s="1"/>
      <c r="B17" s="3"/>
      <c r="C17" s="3"/>
    </row>
    <row r="18" spans="1:3" ht="21" x14ac:dyDescent="0.5">
      <c r="A18" s="48" t="s">
        <v>69</v>
      </c>
      <c r="B18" s="50">
        <f>SUM(C4:C16)</f>
        <v>755.67942973599997</v>
      </c>
      <c r="C18">
        <f>B18/12</f>
        <v>62.973285811333334</v>
      </c>
    </row>
    <row r="19" spans="1:3" ht="21" x14ac:dyDescent="0.5">
      <c r="A19" s="48" t="s">
        <v>76</v>
      </c>
      <c r="B19" s="50">
        <f>B18*4</f>
        <v>3022.7177189439999</v>
      </c>
    </row>
    <row r="20" spans="1:3" ht="21" x14ac:dyDescent="0.5">
      <c r="A20" s="48" t="s">
        <v>81</v>
      </c>
      <c r="B20" s="50">
        <f>B19/12</f>
        <v>251.89314324533333</v>
      </c>
      <c r="C20">
        <f>B20/4</f>
        <v>62.973285811333334</v>
      </c>
    </row>
    <row r="21" spans="1:3" ht="21" x14ac:dyDescent="0.5">
      <c r="A21" s="48" t="s">
        <v>70</v>
      </c>
      <c r="B21" s="66">
        <f>B20*7.25</f>
        <v>1826.2252885286666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zoomScale="80" zoomScaleNormal="80" workbookViewId="0">
      <selection activeCell="F5" sqref="F5"/>
    </sheetView>
  </sheetViews>
  <sheetFormatPr baseColWidth="10" defaultRowHeight="14.5" x14ac:dyDescent="0.35"/>
  <cols>
    <col min="1" max="1" width="22.453125" bestFit="1" customWidth="1"/>
    <col min="2" max="2" width="14.81640625" customWidth="1"/>
    <col min="3" max="3" width="14.1796875" customWidth="1"/>
    <col min="4" max="4" width="15.1796875" bestFit="1" customWidth="1"/>
    <col min="9" max="9" width="15.1796875" bestFit="1" customWidth="1"/>
    <col min="10" max="10" width="12.54296875" bestFit="1" customWidth="1"/>
    <col min="14" max="14" width="13.81640625" bestFit="1" customWidth="1"/>
    <col min="15" max="15" width="12.54296875" bestFit="1" customWidth="1"/>
  </cols>
  <sheetData>
    <row r="1" spans="1:16" x14ac:dyDescent="0.35">
      <c r="G1" t="s">
        <v>79</v>
      </c>
    </row>
    <row r="2" spans="1:16" ht="21" x14ac:dyDescent="0.5">
      <c r="A2" s="28"/>
      <c r="B2" s="29" t="s">
        <v>0</v>
      </c>
      <c r="C2" s="28"/>
      <c r="D2" s="89" t="s">
        <v>9</v>
      </c>
      <c r="E2" s="89"/>
      <c r="G2" t="s">
        <v>130</v>
      </c>
    </row>
    <row r="3" spans="1:16" ht="21" x14ac:dyDescent="0.5">
      <c r="A3" s="28"/>
      <c r="B3" s="28"/>
      <c r="C3" s="28" t="s">
        <v>8</v>
      </c>
      <c r="D3" s="30" t="s">
        <v>10</v>
      </c>
      <c r="E3" s="30" t="s">
        <v>11</v>
      </c>
      <c r="L3" s="7"/>
      <c r="M3" s="7" t="s">
        <v>14</v>
      </c>
      <c r="N3" s="8" t="s">
        <v>78</v>
      </c>
      <c r="O3" s="8"/>
      <c r="P3" s="11" t="s">
        <v>15</v>
      </c>
    </row>
    <row r="4" spans="1:16" ht="21" x14ac:dyDescent="0.5">
      <c r="A4" s="28" t="s">
        <v>1</v>
      </c>
      <c r="B4" s="28"/>
      <c r="C4" s="31">
        <f>P5</f>
        <v>9.7207737359999999</v>
      </c>
      <c r="D4" s="36">
        <v>8</v>
      </c>
      <c r="E4" s="32">
        <v>9</v>
      </c>
      <c r="F4">
        <f>SUM(E4:E16)</f>
        <v>62</v>
      </c>
      <c r="G4" s="2">
        <f>F4-17</f>
        <v>45</v>
      </c>
      <c r="K4" s="2"/>
      <c r="L4" s="12" t="s">
        <v>16</v>
      </c>
      <c r="M4">
        <v>20168.857161599997</v>
      </c>
      <c r="N4">
        <f>M4*10%+M4</f>
        <v>22185.742877759996</v>
      </c>
      <c r="O4" s="2">
        <f>M4/1000</f>
        <v>20.168857161599998</v>
      </c>
      <c r="P4" s="13">
        <f>O4/2</f>
        <v>10.084428580799999</v>
      </c>
    </row>
    <row r="5" spans="1:16" ht="21" x14ac:dyDescent="0.5">
      <c r="A5" s="28"/>
      <c r="B5" s="28"/>
      <c r="C5" s="29"/>
      <c r="D5" s="32"/>
      <c r="E5" s="32"/>
      <c r="F5" s="4">
        <f>SUM(D4:D16)</f>
        <v>58</v>
      </c>
      <c r="G5" s="2">
        <f>F5-25</f>
        <v>33</v>
      </c>
      <c r="K5" s="10"/>
      <c r="L5" s="12" t="s">
        <v>17</v>
      </c>
      <c r="M5">
        <v>19441.547471999998</v>
      </c>
      <c r="N5">
        <f t="shared" ref="N5:N10" si="0">M5*10%+M5</f>
        <v>21385.702219199997</v>
      </c>
      <c r="O5" s="2">
        <f t="shared" ref="O5:O10" si="1">M5/1000</f>
        <v>19.441547472</v>
      </c>
      <c r="P5" s="13">
        <f t="shared" ref="P5:P10" si="2">O5/2</f>
        <v>9.7207737359999999</v>
      </c>
    </row>
    <row r="6" spans="1:16" ht="21" x14ac:dyDescent="0.5">
      <c r="A6" s="28" t="s">
        <v>2</v>
      </c>
      <c r="B6" s="28"/>
      <c r="C6" s="31">
        <f>P6</f>
        <v>9.5785753671999991</v>
      </c>
      <c r="D6" s="36">
        <v>8</v>
      </c>
      <c r="E6" s="32">
        <v>9</v>
      </c>
      <c r="L6" s="12" t="s">
        <v>18</v>
      </c>
      <c r="M6">
        <v>19157.150734399998</v>
      </c>
      <c r="N6">
        <f t="shared" si="0"/>
        <v>21072.865807839997</v>
      </c>
      <c r="O6" s="2">
        <f t="shared" si="1"/>
        <v>19.157150734399998</v>
      </c>
      <c r="P6" s="13">
        <f t="shared" si="2"/>
        <v>9.5785753671999991</v>
      </c>
    </row>
    <row r="7" spans="1:16" ht="21" x14ac:dyDescent="0.5">
      <c r="A7" s="28"/>
      <c r="B7" s="28"/>
      <c r="C7" s="29"/>
      <c r="D7" s="32"/>
      <c r="E7" s="32"/>
      <c r="L7" s="12" t="s">
        <v>19</v>
      </c>
      <c r="M7">
        <v>18019.563783999998</v>
      </c>
      <c r="N7">
        <f t="shared" si="0"/>
        <v>19821.520162399996</v>
      </c>
      <c r="O7" s="2">
        <f t="shared" si="1"/>
        <v>18.019563783999999</v>
      </c>
      <c r="P7" s="13">
        <f t="shared" si="2"/>
        <v>9.0097818919999995</v>
      </c>
    </row>
    <row r="8" spans="1:16" ht="21" x14ac:dyDescent="0.5">
      <c r="A8" s="28" t="s">
        <v>3</v>
      </c>
      <c r="B8" s="28"/>
      <c r="C8" s="31">
        <f>P7</f>
        <v>9.0097818919999995</v>
      </c>
      <c r="D8" s="36">
        <v>7</v>
      </c>
      <c r="E8" s="32">
        <v>7</v>
      </c>
      <c r="L8" s="12" t="s">
        <v>20</v>
      </c>
      <c r="M8">
        <v>20028.989913599999</v>
      </c>
      <c r="N8">
        <f t="shared" si="0"/>
        <v>22031.888904959997</v>
      </c>
      <c r="O8" s="2">
        <f t="shared" si="1"/>
        <v>20.0289899136</v>
      </c>
      <c r="P8" s="13">
        <f t="shared" si="2"/>
        <v>10.0144949568</v>
      </c>
    </row>
    <row r="9" spans="1:16" ht="21" x14ac:dyDescent="0.5">
      <c r="A9" s="28"/>
      <c r="B9" s="28"/>
      <c r="C9" s="29"/>
      <c r="D9" s="32"/>
      <c r="E9" s="32"/>
      <c r="L9" s="12" t="s">
        <v>21</v>
      </c>
      <c r="M9">
        <v>23082.758161599999</v>
      </c>
      <c r="N9">
        <f t="shared" si="0"/>
        <v>25391.033977759998</v>
      </c>
      <c r="O9" s="2">
        <f t="shared" si="1"/>
        <v>23.082758161599997</v>
      </c>
      <c r="P9" s="13">
        <f t="shared" si="2"/>
        <v>11.541379080799999</v>
      </c>
    </row>
    <row r="10" spans="1:16" ht="21" x14ac:dyDescent="0.5">
      <c r="A10" s="28" t="s">
        <v>4</v>
      </c>
      <c r="B10" s="28"/>
      <c r="C10" s="31">
        <f>P8</f>
        <v>10.0144949568</v>
      </c>
      <c r="D10" s="36">
        <v>7</v>
      </c>
      <c r="E10" s="32">
        <v>8</v>
      </c>
      <c r="L10" s="16" t="s">
        <v>22</v>
      </c>
      <c r="M10">
        <v>25591.044142399998</v>
      </c>
      <c r="N10">
        <f t="shared" si="0"/>
        <v>28150.148556639997</v>
      </c>
      <c r="O10" s="2">
        <f t="shared" si="1"/>
        <v>25.591044142399998</v>
      </c>
      <c r="P10" s="14">
        <f t="shared" si="2"/>
        <v>12.795522071199999</v>
      </c>
    </row>
    <row r="11" spans="1:16" ht="21" x14ac:dyDescent="0.5">
      <c r="A11" s="28"/>
      <c r="B11" s="28"/>
      <c r="C11" s="29"/>
      <c r="D11" s="32"/>
      <c r="E11" s="32"/>
      <c r="H11" s="7" t="s">
        <v>113</v>
      </c>
      <c r="I11" s="11"/>
      <c r="J11" s="4"/>
    </row>
    <row r="12" spans="1:16" ht="21" x14ac:dyDescent="0.5">
      <c r="A12" s="28" t="s">
        <v>5</v>
      </c>
      <c r="B12" s="28"/>
      <c r="C12" s="31">
        <f>P9</f>
        <v>11.541379080799999</v>
      </c>
      <c r="D12" s="36">
        <v>10</v>
      </c>
      <c r="E12" s="32">
        <v>10</v>
      </c>
      <c r="H12" s="79">
        <v>9</v>
      </c>
      <c r="I12" s="80" t="s">
        <v>86</v>
      </c>
      <c r="J12" s="4"/>
      <c r="K12" t="s">
        <v>10</v>
      </c>
      <c r="L12" s="7"/>
      <c r="M12" s="8" t="s">
        <v>14</v>
      </c>
      <c r="N12" s="8" t="s">
        <v>78</v>
      </c>
      <c r="O12" s="11" t="s">
        <v>15</v>
      </c>
    </row>
    <row r="13" spans="1:16" ht="21" x14ac:dyDescent="0.5">
      <c r="A13" s="28"/>
      <c r="B13" s="28"/>
      <c r="C13" s="29"/>
      <c r="D13" s="32"/>
      <c r="E13" s="32"/>
      <c r="H13" s="81">
        <v>24.75</v>
      </c>
      <c r="I13" s="82" t="s">
        <v>87</v>
      </c>
      <c r="J13" s="4"/>
      <c r="L13" s="12" t="s">
        <v>16</v>
      </c>
      <c r="M13">
        <v>4679.0256697599998</v>
      </c>
      <c r="N13">
        <f>M13*10%+M13</f>
        <v>5146.9282367360001</v>
      </c>
      <c r="O13" s="15">
        <f>N13*0.00220462</f>
        <v>11.34702092927292</v>
      </c>
      <c r="P13" s="4">
        <f>SUM(O13:O19)</f>
        <v>81.627094759843345</v>
      </c>
    </row>
    <row r="14" spans="1:16" ht="21" x14ac:dyDescent="0.5">
      <c r="A14" s="28" t="s">
        <v>6</v>
      </c>
      <c r="B14" s="28"/>
      <c r="C14" s="31">
        <f>P10</f>
        <v>12.795522071199999</v>
      </c>
      <c r="D14" s="36">
        <v>10</v>
      </c>
      <c r="E14" s="32">
        <v>10</v>
      </c>
      <c r="L14" s="12" t="s">
        <v>17</v>
      </c>
      <c r="M14">
        <v>5204.9265222399999</v>
      </c>
      <c r="N14">
        <f t="shared" ref="N14:N19" si="3">M14*10%+M14</f>
        <v>5725.4191744640002</v>
      </c>
      <c r="O14" s="15">
        <f t="shared" ref="O14:O19" si="4">N14*0.00220462</f>
        <v>12.622373620406824</v>
      </c>
    </row>
    <row r="15" spans="1:16" ht="21" x14ac:dyDescent="0.5">
      <c r="A15" s="28"/>
      <c r="B15" s="28"/>
      <c r="C15" s="29"/>
      <c r="D15" s="32"/>
      <c r="E15" s="32"/>
      <c r="H15" s="7" t="s">
        <v>114</v>
      </c>
      <c r="I15" s="11"/>
      <c r="L15" s="12" t="s">
        <v>18</v>
      </c>
      <c r="M15">
        <v>3765.2263161599999</v>
      </c>
      <c r="N15">
        <f t="shared" si="3"/>
        <v>4141.748947776</v>
      </c>
      <c r="O15" s="15">
        <f t="shared" si="4"/>
        <v>9.130982565245926</v>
      </c>
    </row>
    <row r="16" spans="1:16" ht="21" x14ac:dyDescent="0.5">
      <c r="A16" s="28" t="s">
        <v>7</v>
      </c>
      <c r="B16" s="28"/>
      <c r="C16" s="31">
        <f>P4</f>
        <v>10.084428580799999</v>
      </c>
      <c r="D16" s="36">
        <v>8</v>
      </c>
      <c r="E16" s="32">
        <v>9</v>
      </c>
      <c r="H16" s="79">
        <v>10</v>
      </c>
      <c r="I16" s="80" t="s">
        <v>86</v>
      </c>
      <c r="L16" s="12" t="s">
        <v>19</v>
      </c>
      <c r="M16">
        <v>4177.3684735999996</v>
      </c>
      <c r="N16">
        <f t="shared" si="3"/>
        <v>4595.1053209599995</v>
      </c>
      <c r="O16" s="15">
        <f t="shared" si="4"/>
        <v>10.130461092694834</v>
      </c>
    </row>
    <row r="17" spans="1:16" ht="21" x14ac:dyDescent="0.5">
      <c r="A17" s="1"/>
      <c r="B17" s="1"/>
      <c r="C17" s="3"/>
      <c r="H17" s="81">
        <v>28.75</v>
      </c>
      <c r="I17" s="82" t="s">
        <v>87</v>
      </c>
      <c r="L17" s="12" t="s">
        <v>20</v>
      </c>
      <c r="M17">
        <v>4776.0002950400003</v>
      </c>
      <c r="N17">
        <f t="shared" si="3"/>
        <v>5253.6003245440006</v>
      </c>
      <c r="O17" s="15">
        <f t="shared" si="4"/>
        <v>11.582192347496195</v>
      </c>
    </row>
    <row r="18" spans="1:16" ht="21" x14ac:dyDescent="0.5">
      <c r="A18" s="48" t="s">
        <v>82</v>
      </c>
      <c r="B18" s="50">
        <f>SUM(C4:C16)</f>
        <v>72.74495568479999</v>
      </c>
      <c r="D18" s="50">
        <f>P13</f>
        <v>81.627094759843345</v>
      </c>
      <c r="E18" s="50">
        <f>P22</f>
        <v>48.803722440421048</v>
      </c>
      <c r="L18" s="12" t="s">
        <v>21</v>
      </c>
      <c r="M18">
        <v>5106.0870003199998</v>
      </c>
      <c r="N18">
        <f t="shared" si="3"/>
        <v>5616.6957003520001</v>
      </c>
      <c r="O18" s="15">
        <f t="shared" si="4"/>
        <v>12.382679674910026</v>
      </c>
    </row>
    <row r="19" spans="1:16" ht="21" x14ac:dyDescent="0.5">
      <c r="A19" s="48" t="s">
        <v>76</v>
      </c>
      <c r="B19" s="50">
        <f>B18*4</f>
        <v>290.97982273919996</v>
      </c>
      <c r="D19" s="50">
        <f>D18*4</f>
        <v>326.50837903937338</v>
      </c>
      <c r="E19" s="50">
        <f>E18*4</f>
        <v>195.21488976168419</v>
      </c>
      <c r="H19" s="7" t="s">
        <v>112</v>
      </c>
      <c r="I19" s="11"/>
      <c r="L19" s="16" t="s">
        <v>22</v>
      </c>
      <c r="M19">
        <v>5950.8851782399997</v>
      </c>
      <c r="N19">
        <f t="shared" si="3"/>
        <v>6545.9736960639993</v>
      </c>
      <c r="O19" s="64">
        <f t="shared" si="4"/>
        <v>14.431384529816615</v>
      </c>
    </row>
    <row r="20" spans="1:16" ht="21" x14ac:dyDescent="0.5">
      <c r="A20" s="48" t="s">
        <v>84</v>
      </c>
      <c r="B20" s="84">
        <f>B19/10</f>
        <v>29.097982273919996</v>
      </c>
      <c r="D20" s="9">
        <f>D19/24</f>
        <v>13.604515793307224</v>
      </c>
      <c r="E20" s="9">
        <f>E19/24</f>
        <v>8.133953740070174</v>
      </c>
      <c r="H20" s="79">
        <v>25</v>
      </c>
      <c r="I20" s="80" t="s">
        <v>86</v>
      </c>
    </row>
    <row r="21" spans="1:16" ht="21" x14ac:dyDescent="0.5">
      <c r="A21" s="48" t="s">
        <v>85</v>
      </c>
      <c r="B21" s="83">
        <f>B20*H21</f>
        <v>922.40603808326387</v>
      </c>
      <c r="D21" s="83">
        <f>H13*H12</f>
        <v>222.75</v>
      </c>
      <c r="E21" s="83">
        <f>H17*H16</f>
        <v>287.5</v>
      </c>
      <c r="H21" s="81">
        <v>31.7</v>
      </c>
      <c r="I21" s="82" t="s">
        <v>87</v>
      </c>
      <c r="K21" t="s">
        <v>11</v>
      </c>
      <c r="L21" s="7"/>
      <c r="M21" s="8" t="s">
        <v>14</v>
      </c>
      <c r="N21" s="8" t="s">
        <v>78</v>
      </c>
      <c r="O21" s="11" t="s">
        <v>15</v>
      </c>
    </row>
    <row r="22" spans="1:16" x14ac:dyDescent="0.35">
      <c r="L22" s="12" t="s">
        <v>16</v>
      </c>
      <c r="M22">
        <v>2594.5374503999997</v>
      </c>
      <c r="N22">
        <f>M22*10%+M22</f>
        <v>2853.9911954399995</v>
      </c>
      <c r="O22" s="15">
        <f>N22*0.00220462</f>
        <v>6.2919660692909316</v>
      </c>
      <c r="P22" s="4">
        <f>SUM(O22:O28)</f>
        <v>48.803722440421048</v>
      </c>
    </row>
    <row r="23" spans="1:16" x14ac:dyDescent="0.35">
      <c r="L23" s="12" t="s">
        <v>17</v>
      </c>
      <c r="M23">
        <v>1822.9364656</v>
      </c>
      <c r="N23">
        <f t="shared" ref="N23:N28" si="5">M23*10%+M23</f>
        <v>2005.2301121600001</v>
      </c>
      <c r="O23" s="15">
        <f t="shared" ref="O23:O28" si="6">N23*0.00220462</f>
        <v>4.4207704098701797</v>
      </c>
    </row>
    <row r="24" spans="1:16" x14ac:dyDescent="0.35">
      <c r="B24" s="85">
        <f>B21/4</f>
        <v>230.60150952081597</v>
      </c>
      <c r="D24" s="85">
        <f>D21/4</f>
        <v>55.6875</v>
      </c>
      <c r="E24" s="85">
        <f>E21/4</f>
        <v>71.875</v>
      </c>
      <c r="L24" s="12" t="s">
        <v>18</v>
      </c>
      <c r="M24">
        <v>3596.9193943999999</v>
      </c>
      <c r="N24">
        <f t="shared" si="5"/>
        <v>3956.61133384</v>
      </c>
      <c r="O24" s="15">
        <f t="shared" si="6"/>
        <v>8.7228244788103417</v>
      </c>
    </row>
    <row r="25" spans="1:16" x14ac:dyDescent="0.35">
      <c r="L25" s="12" t="s">
        <v>19</v>
      </c>
      <c r="M25">
        <v>2158.6178608</v>
      </c>
      <c r="N25">
        <f t="shared" si="5"/>
        <v>2374.47964688</v>
      </c>
      <c r="O25" s="15">
        <f t="shared" si="6"/>
        <v>5.2348253191045853</v>
      </c>
    </row>
    <row r="26" spans="1:16" x14ac:dyDescent="0.35">
      <c r="L26" s="12" t="s">
        <v>20</v>
      </c>
      <c r="M26">
        <v>2764.7092687999998</v>
      </c>
      <c r="N26">
        <f t="shared" si="5"/>
        <v>3041.18019568</v>
      </c>
      <c r="O26" s="15">
        <f t="shared" si="6"/>
        <v>6.7046466830000417</v>
      </c>
    </row>
    <row r="27" spans="1:16" x14ac:dyDescent="0.35">
      <c r="L27" s="12" t="s">
        <v>21</v>
      </c>
      <c r="M27">
        <v>3545.6347367999997</v>
      </c>
      <c r="N27">
        <f t="shared" si="5"/>
        <v>3900.1982104799999</v>
      </c>
      <c r="O27" s="15">
        <f t="shared" si="6"/>
        <v>8.5984549787884177</v>
      </c>
    </row>
    <row r="28" spans="1:16" x14ac:dyDescent="0.35">
      <c r="L28" s="16" t="s">
        <v>22</v>
      </c>
      <c r="M28">
        <v>3641.2106896</v>
      </c>
      <c r="N28">
        <f t="shared" si="5"/>
        <v>4005.3317585599998</v>
      </c>
      <c r="O28" s="64">
        <f t="shared" si="6"/>
        <v>8.8302345015565464</v>
      </c>
    </row>
  </sheetData>
  <mergeCells count="1">
    <mergeCell ref="D2:E2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topLeftCell="A4" workbookViewId="0">
      <selection activeCell="E11" sqref="E11"/>
    </sheetView>
  </sheetViews>
  <sheetFormatPr baseColWidth="10" defaultRowHeight="14.5" x14ac:dyDescent="0.35"/>
  <cols>
    <col min="1" max="1" width="22.453125" bestFit="1" customWidth="1"/>
    <col min="2" max="2" width="20.1796875" customWidth="1"/>
    <col min="3" max="3" width="12.81640625" bestFit="1" customWidth="1"/>
    <col min="4" max="4" width="16.1796875" bestFit="1" customWidth="1"/>
    <col min="10" max="10" width="12.54296875" bestFit="1" customWidth="1"/>
  </cols>
  <sheetData>
    <row r="1" spans="1:19" x14ac:dyDescent="0.35">
      <c r="A1" s="33" t="s">
        <v>45</v>
      </c>
      <c r="B1" s="33"/>
      <c r="C1" s="33"/>
      <c r="D1" s="33"/>
    </row>
    <row r="2" spans="1:19" ht="21" x14ac:dyDescent="0.5">
      <c r="A2" s="28"/>
      <c r="B2" s="29" t="s">
        <v>12</v>
      </c>
      <c r="C2" s="28"/>
      <c r="D2" s="28"/>
      <c r="E2" s="1"/>
    </row>
    <row r="3" spans="1:19" ht="21" x14ac:dyDescent="0.5">
      <c r="A3" s="28"/>
      <c r="B3" s="28"/>
      <c r="C3" s="28" t="s">
        <v>8</v>
      </c>
      <c r="D3" s="34" t="s">
        <v>125</v>
      </c>
      <c r="E3" s="5"/>
    </row>
    <row r="4" spans="1:19" ht="21" x14ac:dyDescent="0.5">
      <c r="A4" s="28" t="s">
        <v>1</v>
      </c>
      <c r="B4" s="28"/>
      <c r="C4" s="31">
        <f>'CHIMICHURRI calculo'!P6</f>
        <v>3.6213163832744</v>
      </c>
      <c r="D4" s="32" t="s">
        <v>43</v>
      </c>
      <c r="E4" s="6"/>
      <c r="H4" s="2"/>
      <c r="I4" s="2"/>
      <c r="J4" s="2"/>
      <c r="K4" s="2"/>
      <c r="L4" s="2"/>
      <c r="M4" s="2"/>
      <c r="N4" s="2"/>
      <c r="O4" s="2"/>
      <c r="P4" s="2"/>
      <c r="Q4" s="17"/>
      <c r="R4" s="17"/>
      <c r="S4" s="17"/>
    </row>
    <row r="5" spans="1:19" ht="21" x14ac:dyDescent="0.5">
      <c r="A5" s="28"/>
      <c r="B5" s="28"/>
      <c r="C5" s="29"/>
      <c r="D5" s="32"/>
      <c r="E5" s="6"/>
      <c r="G5" s="4"/>
      <c r="S5" s="4"/>
    </row>
    <row r="6" spans="1:19" ht="21" x14ac:dyDescent="0.5">
      <c r="A6" s="28" t="s">
        <v>2</v>
      </c>
      <c r="B6" s="28"/>
      <c r="C6" s="31">
        <f>'CHIMICHURRI calculo'!P7</f>
        <v>3.573374545045723</v>
      </c>
      <c r="D6" s="32" t="s">
        <v>43</v>
      </c>
      <c r="E6" s="6"/>
      <c r="G6" s="4"/>
      <c r="S6" s="4"/>
    </row>
    <row r="7" spans="1:19" ht="21" x14ac:dyDescent="0.5">
      <c r="A7" s="28"/>
      <c r="B7" s="28"/>
      <c r="C7" s="29"/>
      <c r="D7" s="32"/>
      <c r="E7" s="6"/>
      <c r="G7" s="4"/>
      <c r="J7" s="4"/>
      <c r="S7" s="4"/>
    </row>
    <row r="8" spans="1:19" ht="21" x14ac:dyDescent="0.5">
      <c r="A8" s="28" t="s">
        <v>3</v>
      </c>
      <c r="B8" s="28"/>
      <c r="C8" s="31">
        <f>'CHIMICHURRI calculo'!P8</f>
        <v>3.5993247143621629</v>
      </c>
      <c r="D8" s="32" t="s">
        <v>43</v>
      </c>
      <c r="E8" s="6"/>
      <c r="G8" s="4"/>
      <c r="J8" s="4"/>
      <c r="S8" s="4"/>
    </row>
    <row r="9" spans="1:19" ht="21" x14ac:dyDescent="0.5">
      <c r="A9" s="28"/>
      <c r="B9" s="28"/>
      <c r="C9" s="29"/>
      <c r="D9" s="32"/>
      <c r="E9" s="6"/>
      <c r="G9" s="4"/>
      <c r="J9" s="4"/>
      <c r="S9" s="4"/>
    </row>
    <row r="10" spans="1:19" ht="21" x14ac:dyDescent="0.5">
      <c r="A10" s="28" t="s">
        <v>4</v>
      </c>
      <c r="B10" s="28"/>
      <c r="C10" s="31">
        <f>'CHIMICHURRI calculo'!P9</f>
        <v>3.751067229856599</v>
      </c>
      <c r="D10" s="32" t="s">
        <v>43</v>
      </c>
      <c r="E10" s="6"/>
      <c r="G10" s="4"/>
      <c r="J10" s="4"/>
      <c r="S10" s="4"/>
    </row>
    <row r="11" spans="1:19" ht="21" x14ac:dyDescent="0.5">
      <c r="A11" s="28"/>
      <c r="B11" s="28"/>
      <c r="C11" s="29"/>
      <c r="D11" s="32"/>
      <c r="E11" s="6"/>
      <c r="G11" s="10"/>
      <c r="J11" s="4"/>
      <c r="S11" s="4"/>
    </row>
    <row r="12" spans="1:19" ht="21" x14ac:dyDescent="0.5">
      <c r="A12" s="28" t="s">
        <v>5</v>
      </c>
      <c r="B12" s="28"/>
      <c r="C12" s="31">
        <f>'CHIMICHURRI calculo'!P10</f>
        <v>4.0809422635401571</v>
      </c>
      <c r="D12" s="32" t="s">
        <v>43</v>
      </c>
      <c r="E12" s="6"/>
      <c r="J12" s="4"/>
    </row>
    <row r="13" spans="1:19" ht="21" x14ac:dyDescent="0.5">
      <c r="A13" s="28"/>
      <c r="B13" s="28"/>
      <c r="C13" s="29"/>
      <c r="D13" s="32"/>
      <c r="E13" s="6"/>
      <c r="J13" s="4"/>
    </row>
    <row r="14" spans="1:19" ht="21" x14ac:dyDescent="0.5">
      <c r="A14" s="28" t="s">
        <v>6</v>
      </c>
      <c r="B14" s="28"/>
      <c r="C14" s="31">
        <f>'CHIMICHURRI calculo'!P11</f>
        <v>5.0441773618961463</v>
      </c>
      <c r="D14" s="32" t="s">
        <v>43</v>
      </c>
      <c r="E14" s="6"/>
    </row>
    <row r="15" spans="1:19" ht="21" x14ac:dyDescent="0.5">
      <c r="A15" s="28"/>
      <c r="B15" s="28"/>
      <c r="C15" s="29"/>
      <c r="D15" s="32"/>
      <c r="E15" s="6"/>
    </row>
    <row r="16" spans="1:19" ht="21" x14ac:dyDescent="0.5">
      <c r="A16" s="28" t="s">
        <v>7</v>
      </c>
      <c r="B16" s="28"/>
      <c r="C16" s="31">
        <f>'CHIMICHURRI calculo'!P5</f>
        <v>4.3140539540098723</v>
      </c>
      <c r="D16" s="32" t="s">
        <v>43</v>
      </c>
      <c r="E16" s="6"/>
    </row>
    <row r="17" spans="1:5" ht="21" x14ac:dyDescent="0.5">
      <c r="A17" s="1"/>
      <c r="B17" s="1"/>
      <c r="C17" s="3"/>
    </row>
    <row r="18" spans="1:5" ht="21" x14ac:dyDescent="0.5">
      <c r="A18" s="48" t="s">
        <v>83</v>
      </c>
      <c r="B18" s="50">
        <f>SUM(C4:C16)</f>
        <v>27.984256451985061</v>
      </c>
    </row>
    <row r="19" spans="1:5" ht="21" x14ac:dyDescent="0.5">
      <c r="A19" s="48" t="s">
        <v>76</v>
      </c>
      <c r="B19" s="50">
        <f>B18*4</f>
        <v>111.93702580794024</v>
      </c>
      <c r="D19" s="9" t="s">
        <v>88</v>
      </c>
      <c r="E19" s="67">
        <v>3</v>
      </c>
    </row>
    <row r="20" spans="1:5" ht="21" x14ac:dyDescent="0.5">
      <c r="A20" s="48" t="s">
        <v>89</v>
      </c>
      <c r="B20" s="69">
        <f>B19*E19</f>
        <v>335.81107742382073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7"/>
  <sheetViews>
    <sheetView workbookViewId="0">
      <selection activeCell="L16" sqref="L16"/>
    </sheetView>
  </sheetViews>
  <sheetFormatPr baseColWidth="10" defaultRowHeight="14.5" x14ac:dyDescent="0.35"/>
  <cols>
    <col min="1" max="1" width="16" bestFit="1" customWidth="1"/>
    <col min="2" max="10" width="7.453125" bestFit="1" customWidth="1"/>
    <col min="11" max="11" width="7.453125" customWidth="1"/>
    <col min="12" max="12" width="7" bestFit="1" customWidth="1"/>
    <col min="14" max="14" width="9.1796875" bestFit="1" customWidth="1"/>
    <col min="16" max="16" width="9.81640625" customWidth="1"/>
  </cols>
  <sheetData>
    <row r="2" spans="1:16" ht="21" x14ac:dyDescent="0.5">
      <c r="A2" s="1"/>
      <c r="B2" s="3"/>
      <c r="C2" s="1"/>
      <c r="D2" s="1"/>
      <c r="E2" s="1"/>
    </row>
    <row r="3" spans="1:16" ht="21" x14ac:dyDescent="0.5">
      <c r="A3" s="1"/>
      <c r="B3" s="1"/>
      <c r="C3" s="1"/>
      <c r="D3" s="5"/>
      <c r="E3" s="5"/>
    </row>
    <row r="4" spans="1:16" ht="20" x14ac:dyDescent="0.35">
      <c r="A4" s="2"/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117</v>
      </c>
      <c r="L4" s="2" t="s">
        <v>118</v>
      </c>
      <c r="M4" s="17" t="s">
        <v>33</v>
      </c>
      <c r="N4" s="17" t="s">
        <v>34</v>
      </c>
      <c r="O4" s="18" t="s">
        <v>35</v>
      </c>
      <c r="P4" s="18" t="s">
        <v>42</v>
      </c>
    </row>
    <row r="5" spans="1:16" x14ac:dyDescent="0.35">
      <c r="A5" t="s">
        <v>16</v>
      </c>
      <c r="B5">
        <v>45.083876271999998</v>
      </c>
      <c r="C5">
        <v>2.610855296</v>
      </c>
      <c r="D5">
        <v>15.758376607999999</v>
      </c>
      <c r="E5">
        <v>6.6436942800000001</v>
      </c>
      <c r="F5">
        <v>6.4338934079999994</v>
      </c>
      <c r="G5">
        <v>3.3101915359999996</v>
      </c>
      <c r="H5">
        <v>9.6275289040000001</v>
      </c>
      <c r="I5">
        <v>2.5176104640000001</v>
      </c>
      <c r="J5">
        <v>42.030108024</v>
      </c>
      <c r="K5">
        <v>7.4828977679999999</v>
      </c>
      <c r="L5">
        <v>7.6460762239999989</v>
      </c>
      <c r="M5">
        <f t="shared" ref="M5:M11" si="0">SUM(B5:L5)</f>
        <v>149.145108784</v>
      </c>
      <c r="N5">
        <f>M5*0.55</f>
        <v>82.029809831200012</v>
      </c>
      <c r="O5" s="19">
        <f>N5*0.0295735</f>
        <v>2.4259085810429935</v>
      </c>
      <c r="P5" s="19">
        <f>O5*1.16+1.5</f>
        <v>4.3140539540098723</v>
      </c>
    </row>
    <row r="6" spans="1:16" x14ac:dyDescent="0.35">
      <c r="A6" t="s">
        <v>17</v>
      </c>
      <c r="B6">
        <v>37.740845751999998</v>
      </c>
      <c r="C6">
        <v>2.0047638879999998</v>
      </c>
      <c r="D6">
        <v>13.567123056</v>
      </c>
      <c r="E6">
        <v>4.9419760960000003</v>
      </c>
      <c r="F6">
        <v>3.3801251599999995</v>
      </c>
      <c r="G6">
        <v>1.5618509359999999</v>
      </c>
      <c r="H6">
        <v>4.1727062319999995</v>
      </c>
      <c r="I6">
        <v>1.7483405999999999</v>
      </c>
      <c r="J6">
        <v>34.990123208</v>
      </c>
      <c r="K6">
        <v>5.5247562959999996</v>
      </c>
      <c r="L6">
        <v>2.7973449599999998</v>
      </c>
      <c r="M6">
        <f t="shared" si="0"/>
        <v>112.42995618399999</v>
      </c>
      <c r="N6">
        <f t="shared" ref="N6:N11" si="1">M6*0.55</f>
        <v>61.836475901200004</v>
      </c>
      <c r="O6" s="19">
        <f t="shared" ref="O6:O11" si="2">N6*0.0295735</f>
        <v>1.8287210200641382</v>
      </c>
      <c r="P6" s="19">
        <f t="shared" ref="P6:P11" si="3">O6*1.16+1.5</f>
        <v>3.6213163832744</v>
      </c>
    </row>
    <row r="7" spans="1:16" x14ac:dyDescent="0.35">
      <c r="A7" t="s">
        <v>18</v>
      </c>
      <c r="B7">
        <v>36.878331056</v>
      </c>
      <c r="C7">
        <v>1.86489664</v>
      </c>
      <c r="D7">
        <v>14.662749831999999</v>
      </c>
      <c r="E7">
        <v>4.3825071039999992</v>
      </c>
      <c r="F7">
        <v>2.937212208</v>
      </c>
      <c r="G7">
        <v>1.6317845599999998</v>
      </c>
      <c r="H7">
        <v>2.8672785839999997</v>
      </c>
      <c r="I7">
        <v>2.261187176</v>
      </c>
      <c r="J7">
        <v>35.176612872</v>
      </c>
      <c r="K7">
        <v>5.0818433440000002</v>
      </c>
      <c r="L7">
        <v>2.1446311360000001</v>
      </c>
      <c r="M7">
        <f t="shared" si="0"/>
        <v>109.88903451199999</v>
      </c>
      <c r="N7">
        <f t="shared" si="1"/>
        <v>60.438968981599999</v>
      </c>
      <c r="O7" s="19">
        <f t="shared" si="2"/>
        <v>1.7873918491773475</v>
      </c>
      <c r="P7" s="19">
        <f t="shared" si="3"/>
        <v>3.573374545045723</v>
      </c>
    </row>
    <row r="8" spans="1:16" x14ac:dyDescent="0.35">
      <c r="A8" t="s">
        <v>19</v>
      </c>
      <c r="B8">
        <v>35.339791327999997</v>
      </c>
      <c r="C8">
        <v>2.261187176</v>
      </c>
      <c r="D8">
        <v>14.056658424</v>
      </c>
      <c r="E8">
        <v>4.4291295199999992</v>
      </c>
      <c r="F8">
        <v>4.6855528079999988</v>
      </c>
      <c r="G8">
        <v>1.9348302639999999</v>
      </c>
      <c r="H8">
        <v>2.937212208</v>
      </c>
      <c r="I8">
        <v>2.0280750959999998</v>
      </c>
      <c r="J8">
        <v>36.178994815999999</v>
      </c>
      <c r="K8">
        <v>5.314955423999999</v>
      </c>
      <c r="L8">
        <v>2.0980087200000002</v>
      </c>
      <c r="M8">
        <f t="shared" si="0"/>
        <v>111.26439578399999</v>
      </c>
      <c r="N8">
        <f t="shared" si="1"/>
        <v>61.195417681199999</v>
      </c>
      <c r="O8" s="19">
        <f t="shared" si="2"/>
        <v>1.8097626847949682</v>
      </c>
      <c r="P8" s="19">
        <f t="shared" si="3"/>
        <v>3.5993247143621629</v>
      </c>
    </row>
    <row r="9" spans="1:16" x14ac:dyDescent="0.35">
      <c r="A9" t="s">
        <v>20</v>
      </c>
      <c r="B9">
        <v>39.162829440000003</v>
      </c>
      <c r="C9">
        <v>1.6084733519999999</v>
      </c>
      <c r="D9">
        <v>13.124210103999999</v>
      </c>
      <c r="E9">
        <v>5.3615778399999989</v>
      </c>
      <c r="F9">
        <v>4.3125734800000002</v>
      </c>
      <c r="G9">
        <v>1.7483405999999999</v>
      </c>
      <c r="H9">
        <v>3.8696605279999998</v>
      </c>
      <c r="I9">
        <v>1.5385397279999999</v>
      </c>
      <c r="J9">
        <v>39.022962191999994</v>
      </c>
      <c r="K9">
        <v>6.9234287759999997</v>
      </c>
      <c r="L9">
        <v>2.6341665039999995</v>
      </c>
      <c r="M9">
        <f t="shared" si="0"/>
        <v>119.30676254399998</v>
      </c>
      <c r="N9">
        <f t="shared" si="1"/>
        <v>65.618719399199989</v>
      </c>
      <c r="O9" s="19">
        <f t="shared" si="2"/>
        <v>1.9405751981522408</v>
      </c>
      <c r="P9" s="19">
        <f t="shared" si="3"/>
        <v>3.751067229856599</v>
      </c>
    </row>
    <row r="10" spans="1:16" x14ac:dyDescent="0.35">
      <c r="A10" t="s">
        <v>21</v>
      </c>
      <c r="B10">
        <v>45.200432311999997</v>
      </c>
      <c r="C10">
        <v>2.7507225439999998</v>
      </c>
      <c r="D10">
        <v>15.525264527999999</v>
      </c>
      <c r="E10">
        <v>5.6646235440000003</v>
      </c>
      <c r="F10">
        <v>5.1284657600000001</v>
      </c>
      <c r="G10">
        <v>2.237875968</v>
      </c>
      <c r="H10">
        <v>3.8696605279999998</v>
      </c>
      <c r="I10">
        <v>2.4243656319999998</v>
      </c>
      <c r="J10">
        <v>43.358846880000002</v>
      </c>
      <c r="K10">
        <v>7.45958656</v>
      </c>
      <c r="L10">
        <v>3.1703242880000002</v>
      </c>
      <c r="M10">
        <f t="shared" si="0"/>
        <v>136.79016854399998</v>
      </c>
      <c r="N10">
        <f t="shared" si="1"/>
        <v>75.234592699199993</v>
      </c>
      <c r="O10" s="19">
        <f t="shared" si="2"/>
        <v>2.2249502271897907</v>
      </c>
      <c r="P10" s="19">
        <f t="shared" si="3"/>
        <v>4.0809422635401571</v>
      </c>
    </row>
    <row r="11" spans="1:16" x14ac:dyDescent="0.35">
      <c r="A11" t="s">
        <v>22</v>
      </c>
      <c r="B11">
        <v>66.670054879999995</v>
      </c>
      <c r="C11">
        <v>3.3801251599999995</v>
      </c>
      <c r="D11">
        <v>21.656112231999998</v>
      </c>
      <c r="E11">
        <v>6.7136279039999991</v>
      </c>
      <c r="F11">
        <v>7.8558770959999995</v>
      </c>
      <c r="G11">
        <v>3.1703242880000002</v>
      </c>
      <c r="H11">
        <v>11.212691047999998</v>
      </c>
      <c r="I11">
        <v>2.2145647599999996</v>
      </c>
      <c r="J11">
        <v>44.267983991999991</v>
      </c>
      <c r="K11">
        <v>11.772160039999999</v>
      </c>
      <c r="L11">
        <v>8.9281926639999991</v>
      </c>
      <c r="M11">
        <f t="shared" si="0"/>
        <v>187.84171406399997</v>
      </c>
      <c r="N11">
        <f t="shared" si="1"/>
        <v>103.3129427352</v>
      </c>
      <c r="O11" s="19">
        <f t="shared" si="2"/>
        <v>3.0553253119794368</v>
      </c>
      <c r="P11" s="19">
        <f t="shared" si="3"/>
        <v>5.0441773618961463</v>
      </c>
    </row>
    <row r="12" spans="1:16" ht="21" x14ac:dyDescent="0.5">
      <c r="A12" s="1"/>
      <c r="B12" s="1"/>
      <c r="C12" s="3"/>
      <c r="D12" s="6"/>
      <c r="E12" s="6"/>
      <c r="J12" s="4"/>
      <c r="K12" s="4"/>
      <c r="L12" s="4"/>
    </row>
    <row r="13" spans="1:16" ht="21" x14ac:dyDescent="0.5">
      <c r="A13" s="1"/>
      <c r="B13" s="1"/>
      <c r="C13" s="3"/>
      <c r="D13" s="6"/>
      <c r="E13" s="6"/>
      <c r="J13" s="4"/>
      <c r="K13" s="4"/>
      <c r="L13" s="4"/>
    </row>
    <row r="14" spans="1:16" ht="21" x14ac:dyDescent="0.5">
      <c r="A14" s="1"/>
      <c r="B14" s="1"/>
      <c r="C14" s="3"/>
      <c r="D14" s="6"/>
      <c r="E14" s="6"/>
    </row>
    <row r="15" spans="1:16" ht="21" x14ac:dyDescent="0.5">
      <c r="A15" s="1"/>
      <c r="B15" s="1"/>
      <c r="C15" s="3"/>
      <c r="D15" s="6"/>
      <c r="E15" s="6"/>
    </row>
    <row r="16" spans="1:16" ht="21" x14ac:dyDescent="0.5">
      <c r="A16" s="1"/>
      <c r="B16" s="1"/>
      <c r="C16" s="3"/>
      <c r="D16" s="6"/>
      <c r="E16" s="6"/>
    </row>
    <row r="17" spans="1:3" ht="21" x14ac:dyDescent="0.5">
      <c r="A17" s="1"/>
      <c r="B17" s="1"/>
      <c r="C17" s="3"/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topLeftCell="A10" workbookViewId="0">
      <selection activeCell="C18" sqref="C18"/>
    </sheetView>
  </sheetViews>
  <sheetFormatPr baseColWidth="10" defaultRowHeight="14.5" x14ac:dyDescent="0.35"/>
  <cols>
    <col min="1" max="1" width="35.1796875" bestFit="1" customWidth="1"/>
    <col min="2" max="2" width="27.54296875" customWidth="1"/>
    <col min="3" max="4" width="16.1796875" bestFit="1" customWidth="1"/>
    <col min="10" max="10" width="12.54296875" bestFit="1" customWidth="1"/>
  </cols>
  <sheetData>
    <row r="1" spans="1:13" x14ac:dyDescent="0.35">
      <c r="A1" s="33"/>
      <c r="B1" s="33"/>
      <c r="C1" s="33"/>
      <c r="D1" s="34" t="s">
        <v>131</v>
      </c>
    </row>
    <row r="2" spans="1:13" ht="21" x14ac:dyDescent="0.5">
      <c r="A2" s="28"/>
      <c r="B2" s="29" t="s">
        <v>13</v>
      </c>
      <c r="C2" s="28"/>
      <c r="D2" s="28"/>
      <c r="E2" s="1"/>
    </row>
    <row r="3" spans="1:13" ht="21" x14ac:dyDescent="0.5">
      <c r="A3" s="28"/>
      <c r="B3" s="29" t="s">
        <v>46</v>
      </c>
      <c r="C3" s="33"/>
      <c r="D3" s="28" t="s">
        <v>75</v>
      </c>
      <c r="E3" s="5"/>
    </row>
    <row r="4" spans="1:13" ht="21" x14ac:dyDescent="0.5">
      <c r="A4" s="28" t="s">
        <v>1</v>
      </c>
      <c r="B4" s="31">
        <f>K5</f>
        <v>30.0516437932</v>
      </c>
      <c r="C4" s="30" t="s">
        <v>47</v>
      </c>
      <c r="D4" s="35">
        <f>B4*9</f>
        <v>270.46479413880002</v>
      </c>
      <c r="E4" s="6"/>
      <c r="H4" s="2"/>
      <c r="I4">
        <v>30.65423852</v>
      </c>
      <c r="J4" s="24">
        <f>I4*15%</f>
        <v>4.5981357779999996</v>
      </c>
      <c r="K4" s="25">
        <f>I4+J4</f>
        <v>35.252374297999999</v>
      </c>
      <c r="L4" s="2"/>
      <c r="M4" s="2"/>
    </row>
    <row r="5" spans="1:13" ht="21" x14ac:dyDescent="0.5">
      <c r="A5" s="28"/>
      <c r="B5" s="29"/>
      <c r="C5" s="30"/>
      <c r="D5" s="36"/>
      <c r="E5" s="6"/>
      <c r="I5">
        <v>26.131864168</v>
      </c>
      <c r="J5" s="24">
        <f t="shared" ref="J5:J10" si="0">I5*15%</f>
        <v>3.9197796251999999</v>
      </c>
      <c r="K5" s="26">
        <f t="shared" ref="K5:K10" si="1">I5+J5</f>
        <v>30.0516437932</v>
      </c>
    </row>
    <row r="6" spans="1:13" ht="21" x14ac:dyDescent="0.5">
      <c r="A6" s="28" t="s">
        <v>2</v>
      </c>
      <c r="B6" s="31">
        <f>K6</f>
        <v>25.789189410399995</v>
      </c>
      <c r="C6" s="30" t="s">
        <v>47</v>
      </c>
      <c r="D6" s="35">
        <f>B6*9</f>
        <v>232.10270469359995</v>
      </c>
      <c r="E6" s="6"/>
      <c r="I6">
        <v>22.425382095999996</v>
      </c>
      <c r="J6" s="24">
        <f t="shared" si="0"/>
        <v>3.3638073143999994</v>
      </c>
      <c r="K6" s="26">
        <f t="shared" si="1"/>
        <v>25.789189410399995</v>
      </c>
    </row>
    <row r="7" spans="1:13" ht="21" x14ac:dyDescent="0.5">
      <c r="A7" s="28"/>
      <c r="B7" s="29"/>
      <c r="C7" s="30"/>
      <c r="D7" s="36"/>
      <c r="E7" s="6"/>
      <c r="I7">
        <v>22.728427799999999</v>
      </c>
      <c r="J7" s="24">
        <f t="shared" si="0"/>
        <v>3.4092641699999997</v>
      </c>
      <c r="K7" s="26">
        <f t="shared" si="1"/>
        <v>26.137691969999999</v>
      </c>
    </row>
    <row r="8" spans="1:13" ht="21" x14ac:dyDescent="0.5">
      <c r="A8" s="28" t="s">
        <v>3</v>
      </c>
      <c r="B8" s="31">
        <f>K7</f>
        <v>26.137691969999999</v>
      </c>
      <c r="C8" s="30" t="s">
        <v>47</v>
      </c>
      <c r="D8" s="35">
        <f>B8*9</f>
        <v>235.23922772999998</v>
      </c>
      <c r="E8" s="6"/>
      <c r="I8">
        <v>24.173722695999999</v>
      </c>
      <c r="J8" s="24">
        <f t="shared" si="0"/>
        <v>3.6260584043999997</v>
      </c>
      <c r="K8" s="26">
        <f t="shared" si="1"/>
        <v>27.799781100399997</v>
      </c>
    </row>
    <row r="9" spans="1:13" ht="21" x14ac:dyDescent="0.5">
      <c r="A9" s="28"/>
      <c r="B9" s="29"/>
      <c r="C9" s="30"/>
      <c r="D9" s="36"/>
      <c r="E9" s="6"/>
      <c r="I9">
        <v>31.027217847999999</v>
      </c>
      <c r="J9" s="24">
        <f t="shared" si="0"/>
        <v>4.6540826771999999</v>
      </c>
      <c r="K9" s="26">
        <f t="shared" si="1"/>
        <v>35.681300525200001</v>
      </c>
    </row>
    <row r="10" spans="1:13" ht="21" x14ac:dyDescent="0.5">
      <c r="A10" s="28" t="s">
        <v>4</v>
      </c>
      <c r="B10" s="31">
        <f>K8</f>
        <v>27.799781100399997</v>
      </c>
      <c r="C10" s="30" t="s">
        <v>47</v>
      </c>
      <c r="D10" s="35">
        <f>B10*9</f>
        <v>250.19802990359997</v>
      </c>
      <c r="E10" s="6"/>
      <c r="I10">
        <v>44.594340903999992</v>
      </c>
      <c r="J10" s="24">
        <f t="shared" si="0"/>
        <v>6.6891511355999986</v>
      </c>
      <c r="K10" s="27">
        <f t="shared" si="1"/>
        <v>51.283492039599992</v>
      </c>
    </row>
    <row r="11" spans="1:13" ht="21" x14ac:dyDescent="0.5">
      <c r="A11" s="28"/>
      <c r="B11" s="29"/>
      <c r="C11" s="30"/>
      <c r="D11" s="36"/>
      <c r="E11" s="6"/>
      <c r="G11" s="4"/>
      <c r="J11" s="4"/>
    </row>
    <row r="12" spans="1:13" ht="21" x14ac:dyDescent="0.5">
      <c r="A12" s="28" t="s">
        <v>5</v>
      </c>
      <c r="B12" s="31">
        <f>K9</f>
        <v>35.681300525200001</v>
      </c>
      <c r="C12" s="30" t="s">
        <v>47</v>
      </c>
      <c r="D12" s="35">
        <f>B12*9</f>
        <v>321.13170472680002</v>
      </c>
      <c r="E12" s="6"/>
      <c r="G12" s="4"/>
      <c r="J12" s="4"/>
    </row>
    <row r="13" spans="1:13" ht="21" x14ac:dyDescent="0.5">
      <c r="A13" s="28"/>
      <c r="B13" s="29"/>
      <c r="C13" s="30"/>
      <c r="D13" s="36"/>
      <c r="E13" s="6"/>
      <c r="J13" s="4"/>
    </row>
    <row r="14" spans="1:13" ht="21" x14ac:dyDescent="0.5">
      <c r="A14" s="28" t="s">
        <v>6</v>
      </c>
      <c r="B14" s="31">
        <f>K10</f>
        <v>51.283492039599992</v>
      </c>
      <c r="C14" s="30" t="s">
        <v>47</v>
      </c>
      <c r="D14" s="35">
        <f>B14*9</f>
        <v>461.55142835639992</v>
      </c>
      <c r="E14" s="6"/>
    </row>
    <row r="15" spans="1:13" ht="21" x14ac:dyDescent="0.5">
      <c r="A15" s="28"/>
      <c r="B15" s="29"/>
      <c r="C15" s="30"/>
      <c r="D15" s="36"/>
      <c r="E15" s="6"/>
    </row>
    <row r="16" spans="1:13" ht="21" x14ac:dyDescent="0.5">
      <c r="A16" s="28" t="s">
        <v>7</v>
      </c>
      <c r="B16" s="31">
        <f>K4</f>
        <v>35.252374297999999</v>
      </c>
      <c r="C16" s="30" t="s">
        <v>47</v>
      </c>
      <c r="D16" s="35">
        <f>B16*9</f>
        <v>317.271368682</v>
      </c>
      <c r="E16" s="6"/>
    </row>
    <row r="17" spans="1:6" ht="21" x14ac:dyDescent="0.5">
      <c r="A17" s="48"/>
      <c r="B17" s="48"/>
      <c r="C17" s="60"/>
    </row>
    <row r="18" spans="1:6" ht="21" x14ac:dyDescent="0.5">
      <c r="A18" s="57" t="s">
        <v>69</v>
      </c>
      <c r="B18" s="59">
        <f>SUM(D4:D16)</f>
        <v>2087.9592582311998</v>
      </c>
      <c r="C18" s="4">
        <f>B18/7</f>
        <v>298.27989403302854</v>
      </c>
      <c r="D18" t="s">
        <v>128</v>
      </c>
    </row>
    <row r="19" spans="1:6" ht="21" x14ac:dyDescent="0.5">
      <c r="A19" s="57" t="s">
        <v>92</v>
      </c>
      <c r="B19" s="59">
        <f>B18*4</f>
        <v>8351.8370329247991</v>
      </c>
    </row>
    <row r="20" spans="1:6" ht="21" x14ac:dyDescent="0.5">
      <c r="A20" s="57" t="s">
        <v>77</v>
      </c>
      <c r="B20" s="59">
        <f>B19/7</f>
        <v>1193.1195761321142</v>
      </c>
      <c r="D20" t="s">
        <v>90</v>
      </c>
      <c r="E20">
        <v>24</v>
      </c>
      <c r="F20" s="70" t="s">
        <v>91</v>
      </c>
    </row>
    <row r="21" spans="1:6" ht="21" x14ac:dyDescent="0.5">
      <c r="A21" s="28" t="s">
        <v>70</v>
      </c>
      <c r="B21" s="51">
        <f>(B20/100)*E20</f>
        <v>286.34869827170741</v>
      </c>
      <c r="C21" s="85">
        <f>B21/4</f>
        <v>71.587174567926851</v>
      </c>
    </row>
    <row r="23" spans="1:6" x14ac:dyDescent="0.35">
      <c r="D23" t="s">
        <v>129</v>
      </c>
      <c r="E23">
        <v>24</v>
      </c>
      <c r="F23" t="s">
        <v>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workbookViewId="0">
      <selection activeCell="C4" sqref="C4:C16"/>
    </sheetView>
  </sheetViews>
  <sheetFormatPr baseColWidth="10" defaultRowHeight="14.5" x14ac:dyDescent="0.35"/>
  <cols>
    <col min="1" max="1" width="16" bestFit="1" customWidth="1"/>
    <col min="2" max="2" width="20.1796875" customWidth="1"/>
    <col min="3" max="3" width="12.81640625" bestFit="1" customWidth="1"/>
    <col min="4" max="4" width="16.1796875" bestFit="1" customWidth="1"/>
    <col min="10" max="10" width="12.54296875" bestFit="1" customWidth="1"/>
  </cols>
  <sheetData>
    <row r="1" spans="1:13" x14ac:dyDescent="0.35">
      <c r="A1" s="33"/>
      <c r="B1" s="33"/>
      <c r="C1" s="33"/>
      <c r="D1" s="33"/>
    </row>
    <row r="2" spans="1:13" ht="21" x14ac:dyDescent="0.5">
      <c r="A2" s="28"/>
      <c r="B2" s="29" t="s">
        <v>44</v>
      </c>
      <c r="C2" s="28"/>
      <c r="D2" s="37" t="s">
        <v>133</v>
      </c>
      <c r="E2" s="1"/>
    </row>
    <row r="3" spans="1:13" ht="21" x14ac:dyDescent="0.5">
      <c r="A3" s="28"/>
      <c r="B3" s="28"/>
      <c r="C3" s="28" t="s">
        <v>8</v>
      </c>
      <c r="D3" s="30"/>
      <c r="E3" s="5"/>
    </row>
    <row r="4" spans="1:13" ht="21" x14ac:dyDescent="0.5">
      <c r="A4" s="28" t="s">
        <v>1</v>
      </c>
      <c r="B4" s="28"/>
      <c r="C4" s="31">
        <f>'POLLO calculo'!B6</f>
        <v>38.963141905999997</v>
      </c>
      <c r="D4" s="32" t="s">
        <v>23</v>
      </c>
      <c r="E4" s="6"/>
      <c r="G4" s="10"/>
      <c r="H4" s="2"/>
      <c r="I4" s="2"/>
      <c r="J4" s="2"/>
      <c r="K4" s="2"/>
      <c r="L4" s="2"/>
      <c r="M4" s="2"/>
    </row>
    <row r="5" spans="1:13" ht="21" x14ac:dyDescent="0.5">
      <c r="A5" s="28"/>
      <c r="B5" s="28"/>
      <c r="C5" s="29"/>
      <c r="D5" s="32"/>
      <c r="E5" s="6"/>
      <c r="G5" s="4"/>
    </row>
    <row r="6" spans="1:13" ht="21" x14ac:dyDescent="0.5">
      <c r="A6" s="28" t="s">
        <v>2</v>
      </c>
      <c r="B6" s="28"/>
      <c r="C6" s="31">
        <f>'POLLO calculo'!B7</f>
        <v>38.783608436000002</v>
      </c>
      <c r="D6" s="32" t="s">
        <v>23</v>
      </c>
      <c r="E6" s="6"/>
      <c r="G6" s="4"/>
    </row>
    <row r="7" spans="1:13" ht="21" x14ac:dyDescent="0.5">
      <c r="A7" s="28"/>
      <c r="B7" s="28"/>
      <c r="C7" s="29"/>
      <c r="D7" s="32"/>
      <c r="E7" s="6"/>
      <c r="G7" s="4"/>
      <c r="J7" s="4"/>
    </row>
    <row r="8" spans="1:13" ht="21" x14ac:dyDescent="0.5">
      <c r="A8" s="28" t="s">
        <v>3</v>
      </c>
      <c r="B8" s="28"/>
      <c r="C8" s="31">
        <f>'POLLO calculo'!B8</f>
        <v>37.08448602</v>
      </c>
      <c r="D8" s="32" t="s">
        <v>23</v>
      </c>
      <c r="E8" s="6"/>
      <c r="G8" s="4"/>
      <c r="J8" s="4"/>
    </row>
    <row r="9" spans="1:13" ht="21" x14ac:dyDescent="0.5">
      <c r="A9" s="28"/>
      <c r="B9" s="28"/>
      <c r="C9" s="29"/>
      <c r="D9" s="32"/>
      <c r="E9" s="6"/>
      <c r="G9" s="4"/>
      <c r="I9" s="4"/>
      <c r="J9" s="4"/>
    </row>
    <row r="10" spans="1:13" ht="21" x14ac:dyDescent="0.5">
      <c r="A10" s="28" t="s">
        <v>4</v>
      </c>
      <c r="B10" s="28"/>
      <c r="C10" s="31">
        <f>'POLLO calculo'!B9</f>
        <v>41.989743931999996</v>
      </c>
      <c r="D10" s="32" t="s">
        <v>23</v>
      </c>
      <c r="E10" s="6"/>
      <c r="G10" s="4"/>
      <c r="I10" s="4"/>
      <c r="J10" s="4"/>
    </row>
    <row r="11" spans="1:13" ht="21" x14ac:dyDescent="0.5">
      <c r="A11" s="28"/>
      <c r="B11" s="28"/>
      <c r="C11" s="29"/>
      <c r="D11" s="32"/>
      <c r="E11" s="6"/>
      <c r="G11" s="4"/>
      <c r="I11" s="4"/>
      <c r="J11" s="4"/>
    </row>
    <row r="12" spans="1:13" ht="21" x14ac:dyDescent="0.5">
      <c r="A12" s="28" t="s">
        <v>5</v>
      </c>
      <c r="B12" s="28"/>
      <c r="C12" s="31">
        <f>'POLLO calculo'!B10</f>
        <v>46.267352497999994</v>
      </c>
      <c r="D12" s="32" t="s">
        <v>23</v>
      </c>
      <c r="E12" s="6"/>
      <c r="G12" s="4"/>
      <c r="I12" s="4"/>
      <c r="J12" s="4"/>
    </row>
    <row r="13" spans="1:13" ht="21" x14ac:dyDescent="0.5">
      <c r="A13" s="28"/>
      <c r="B13" s="28"/>
      <c r="C13" s="29"/>
      <c r="D13" s="32"/>
      <c r="E13" s="6"/>
      <c r="I13" s="4"/>
      <c r="J13" s="4"/>
    </row>
    <row r="14" spans="1:13" ht="21" x14ac:dyDescent="0.5">
      <c r="A14" s="28" t="s">
        <v>6</v>
      </c>
      <c r="B14" s="28"/>
      <c r="C14" s="31">
        <f>'POLLO calculo'!B11</f>
        <v>68.346955163999993</v>
      </c>
      <c r="D14" s="32" t="s">
        <v>23</v>
      </c>
      <c r="E14" s="6"/>
      <c r="I14" s="4"/>
    </row>
    <row r="15" spans="1:13" ht="21" x14ac:dyDescent="0.5">
      <c r="A15" s="28"/>
      <c r="B15" s="28"/>
      <c r="C15" s="29"/>
      <c r="D15" s="32"/>
      <c r="E15" s="6"/>
      <c r="I15" s="4"/>
    </row>
    <row r="16" spans="1:13" ht="21" x14ac:dyDescent="0.5">
      <c r="A16" s="28" t="s">
        <v>7</v>
      </c>
      <c r="B16" s="28"/>
      <c r="C16" s="31">
        <f>'POLLO calculo'!B5</f>
        <v>55.860403407999996</v>
      </c>
      <c r="D16" s="32" t="s">
        <v>23</v>
      </c>
      <c r="E16" s="6"/>
    </row>
    <row r="17" spans="1:3" ht="21" x14ac:dyDescent="0.5">
      <c r="A17" s="1"/>
      <c r="B17" s="1"/>
      <c r="C17" s="3"/>
    </row>
    <row r="18" spans="1:3" ht="21" x14ac:dyDescent="0.5">
      <c r="B18" s="43"/>
      <c r="C18" s="1"/>
    </row>
    <row r="19" spans="1:3" ht="15.5" x14ac:dyDescent="0.35">
      <c r="B19" s="43"/>
    </row>
    <row r="20" spans="1:3" ht="15.5" x14ac:dyDescent="0.35">
      <c r="B20" s="42"/>
    </row>
    <row r="21" spans="1:3" ht="15.5" x14ac:dyDescent="0.35">
      <c r="B21" s="42"/>
    </row>
    <row r="22" spans="1:3" ht="21" x14ac:dyDescent="0.5">
      <c r="B22" s="44"/>
      <c r="C22" s="1"/>
    </row>
  </sheetData>
  <pageMargins left="0.7" right="0.7" top="0.75" bottom="0.75" header="0.3" footer="0.3"/>
  <pageSetup orientation="portrait" horizont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20"/>
  <sheetViews>
    <sheetView workbookViewId="0">
      <selection activeCell="I16" sqref="I16"/>
    </sheetView>
  </sheetViews>
  <sheetFormatPr baseColWidth="10" defaultRowHeight="14.5" x14ac:dyDescent="0.35"/>
  <cols>
    <col min="1" max="1" width="22" bestFit="1" customWidth="1"/>
    <col min="2" max="2" width="16" customWidth="1"/>
    <col min="3" max="3" width="15.453125" bestFit="1" customWidth="1"/>
    <col min="4" max="5" width="7.453125" bestFit="1" customWidth="1"/>
    <col min="6" max="6" width="15.81640625" bestFit="1" customWidth="1"/>
    <col min="7" max="7" width="7.453125" bestFit="1" customWidth="1"/>
    <col min="8" max="8" width="10" customWidth="1"/>
    <col min="9" max="9" width="2.453125" customWidth="1"/>
    <col min="10" max="10" width="7.1796875" bestFit="1" customWidth="1"/>
    <col min="11" max="11" width="6" bestFit="1" customWidth="1"/>
    <col min="12" max="13" width="9" customWidth="1"/>
    <col min="14" max="14" width="2" customWidth="1"/>
    <col min="15" max="15" width="12" bestFit="1" customWidth="1"/>
    <col min="16" max="16" width="6.453125" bestFit="1" customWidth="1"/>
  </cols>
  <sheetData>
    <row r="2" spans="1:17" ht="21" x14ac:dyDescent="0.5">
      <c r="A2" s="1"/>
      <c r="B2" s="1"/>
      <c r="C2" s="3"/>
      <c r="D2" s="1"/>
      <c r="E2" s="1"/>
      <c r="F2" s="1"/>
    </row>
    <row r="3" spans="1:17" ht="21" x14ac:dyDescent="0.5">
      <c r="A3" s="1"/>
      <c r="B3" s="1"/>
      <c r="C3" s="1"/>
      <c r="D3" s="1"/>
      <c r="E3" s="5"/>
      <c r="F3" s="5"/>
    </row>
    <row r="4" spans="1:17" x14ac:dyDescent="0.35">
      <c r="A4" s="2"/>
      <c r="B4" s="2" t="s">
        <v>41</v>
      </c>
      <c r="C4" s="2" t="s">
        <v>24</v>
      </c>
      <c r="D4" s="2" t="s">
        <v>30</v>
      </c>
      <c r="E4" s="2" t="s">
        <v>32</v>
      </c>
      <c r="F4" s="2" t="s">
        <v>36</v>
      </c>
      <c r="G4" s="17" t="s">
        <v>33</v>
      </c>
      <c r="H4" s="20" t="s">
        <v>40</v>
      </c>
      <c r="J4" s="2" t="s">
        <v>38</v>
      </c>
      <c r="K4" s="2" t="s">
        <v>37</v>
      </c>
      <c r="L4" s="17" t="s">
        <v>33</v>
      </c>
      <c r="M4" s="20" t="s">
        <v>40</v>
      </c>
      <c r="O4" s="2" t="s">
        <v>39</v>
      </c>
      <c r="P4" s="2" t="s">
        <v>23</v>
      </c>
      <c r="Q4" s="20"/>
    </row>
    <row r="5" spans="1:17" ht="18.5" x14ac:dyDescent="0.45">
      <c r="A5" t="s">
        <v>16</v>
      </c>
      <c r="B5" s="4">
        <f t="shared" ref="B5:B11" si="0">(H5+M5+Q5)</f>
        <v>55.860403407999996</v>
      </c>
      <c r="C5">
        <v>45.083876271999998</v>
      </c>
      <c r="D5">
        <v>9.6275289040000001</v>
      </c>
      <c r="E5">
        <v>42.030108024</v>
      </c>
      <c r="F5">
        <v>10.050000000000001</v>
      </c>
      <c r="G5">
        <f>SUM(C5:F5)</f>
        <v>106.7915132</v>
      </c>
      <c r="H5" s="21">
        <f>G5/4</f>
        <v>26.697878299999999</v>
      </c>
      <c r="J5" s="6">
        <v>7.4828977679999999</v>
      </c>
      <c r="K5">
        <v>9.2100000000000009</v>
      </c>
      <c r="L5">
        <f>SUM(J5:K5)</f>
        <v>16.692897768000002</v>
      </c>
      <c r="M5" s="21">
        <f>L5/2</f>
        <v>8.3464488840000008</v>
      </c>
      <c r="O5">
        <v>7.6460762239999989</v>
      </c>
      <c r="P5">
        <v>13.17</v>
      </c>
      <c r="Q5" s="21">
        <f t="shared" ref="Q5:Q11" si="1">SUM(O5:P5)</f>
        <v>20.816076224</v>
      </c>
    </row>
    <row r="6" spans="1:17" ht="18.5" x14ac:dyDescent="0.45">
      <c r="A6" t="s">
        <v>17</v>
      </c>
      <c r="B6" s="4">
        <f t="shared" si="0"/>
        <v>38.963141905999997</v>
      </c>
      <c r="C6">
        <v>37.740845751999998</v>
      </c>
      <c r="D6">
        <v>4.1727062319999995</v>
      </c>
      <c r="E6">
        <v>34.990123208</v>
      </c>
      <c r="F6">
        <v>11.31</v>
      </c>
      <c r="G6">
        <f t="shared" ref="G6:G11" si="2">SUM(C6:F6)</f>
        <v>88.213675191999997</v>
      </c>
      <c r="H6" s="21">
        <f t="shared" ref="H6:H11" si="3">G6/4</f>
        <v>22.053418797999999</v>
      </c>
      <c r="J6" s="6">
        <v>5.5247562959999996</v>
      </c>
      <c r="K6">
        <v>8.7200000000000006</v>
      </c>
      <c r="L6">
        <f t="shared" ref="L6:L11" si="4">SUM(J6:K6)</f>
        <v>14.244756296</v>
      </c>
      <c r="M6" s="21">
        <f t="shared" ref="M6:M11" si="5">L6/2</f>
        <v>7.1223781480000001</v>
      </c>
      <c r="O6">
        <v>2.7973449599999998</v>
      </c>
      <c r="P6">
        <v>6.99</v>
      </c>
      <c r="Q6" s="21">
        <f t="shared" si="1"/>
        <v>9.7873449600000004</v>
      </c>
    </row>
    <row r="7" spans="1:17" ht="18.5" x14ac:dyDescent="0.45">
      <c r="A7" t="s">
        <v>18</v>
      </c>
      <c r="B7" s="4">
        <f t="shared" si="0"/>
        <v>38.783608436000002</v>
      </c>
      <c r="C7">
        <v>36.878331056</v>
      </c>
      <c r="D7">
        <v>2.8672785839999997</v>
      </c>
      <c r="E7">
        <v>35.176612872</v>
      </c>
      <c r="F7">
        <v>11.93</v>
      </c>
      <c r="G7">
        <f t="shared" si="2"/>
        <v>86.852222511999997</v>
      </c>
      <c r="H7" s="21">
        <f t="shared" si="3"/>
        <v>21.713055627999999</v>
      </c>
      <c r="J7" s="6">
        <v>5.0818433440000002</v>
      </c>
      <c r="K7">
        <v>8.69</v>
      </c>
      <c r="L7">
        <f t="shared" si="4"/>
        <v>13.771843344000001</v>
      </c>
      <c r="M7" s="21">
        <f t="shared" si="5"/>
        <v>6.8859216720000003</v>
      </c>
      <c r="O7">
        <v>2.1446311360000001</v>
      </c>
      <c r="P7">
        <v>8.0399999999999991</v>
      </c>
      <c r="Q7" s="21">
        <f t="shared" si="1"/>
        <v>10.184631136</v>
      </c>
    </row>
    <row r="8" spans="1:17" x14ac:dyDescent="0.35">
      <c r="A8" t="s">
        <v>19</v>
      </c>
      <c r="B8" s="4">
        <f t="shared" si="0"/>
        <v>37.08448602</v>
      </c>
      <c r="C8">
        <v>35.339791327999997</v>
      </c>
      <c r="D8">
        <v>2.937212208</v>
      </c>
      <c r="E8">
        <v>36.178994815999999</v>
      </c>
      <c r="F8">
        <v>10.3</v>
      </c>
      <c r="G8">
        <f t="shared" si="2"/>
        <v>84.755998351999992</v>
      </c>
      <c r="H8" s="21">
        <f t="shared" si="3"/>
        <v>21.188999587999998</v>
      </c>
      <c r="J8">
        <v>5.314955423999999</v>
      </c>
      <c r="K8">
        <v>8.76</v>
      </c>
      <c r="L8">
        <f t="shared" si="4"/>
        <v>14.074955423999999</v>
      </c>
      <c r="M8" s="21">
        <f t="shared" si="5"/>
        <v>7.0374777119999994</v>
      </c>
      <c r="O8">
        <v>2.0980087200000002</v>
      </c>
      <c r="P8">
        <v>6.76</v>
      </c>
      <c r="Q8" s="21">
        <f t="shared" si="1"/>
        <v>8.8580087200000008</v>
      </c>
    </row>
    <row r="9" spans="1:17" x14ac:dyDescent="0.35">
      <c r="A9" t="s">
        <v>20</v>
      </c>
      <c r="B9" s="4">
        <f t="shared" si="0"/>
        <v>41.989743931999996</v>
      </c>
      <c r="C9">
        <v>39.162829440000003</v>
      </c>
      <c r="D9">
        <v>3.8696605279999998</v>
      </c>
      <c r="E9">
        <v>39.022962191999994</v>
      </c>
      <c r="F9">
        <v>10.96</v>
      </c>
      <c r="G9">
        <f t="shared" si="2"/>
        <v>93.015452159999995</v>
      </c>
      <c r="H9" s="21">
        <f t="shared" si="3"/>
        <v>23.253863039999999</v>
      </c>
      <c r="J9">
        <v>6.9234287759999997</v>
      </c>
      <c r="K9">
        <v>9.42</v>
      </c>
      <c r="L9">
        <f t="shared" si="4"/>
        <v>16.343428776</v>
      </c>
      <c r="M9" s="21">
        <f t="shared" si="5"/>
        <v>8.1717143879999998</v>
      </c>
      <c r="O9">
        <v>2.6341665039999995</v>
      </c>
      <c r="P9">
        <v>7.93</v>
      </c>
      <c r="Q9" s="21">
        <f t="shared" si="1"/>
        <v>10.564166503999999</v>
      </c>
    </row>
    <row r="10" spans="1:17" x14ac:dyDescent="0.35">
      <c r="A10" t="s">
        <v>21</v>
      </c>
      <c r="B10" s="4">
        <f t="shared" si="0"/>
        <v>46.267352497999994</v>
      </c>
      <c r="C10">
        <v>45.200432311999997</v>
      </c>
      <c r="D10">
        <v>3.8696605279999998</v>
      </c>
      <c r="E10">
        <v>43.358846880000002</v>
      </c>
      <c r="F10">
        <v>11.28</v>
      </c>
      <c r="G10">
        <f t="shared" si="2"/>
        <v>103.70893971999999</v>
      </c>
      <c r="H10" s="21">
        <f t="shared" si="3"/>
        <v>25.927234929999997</v>
      </c>
      <c r="J10">
        <v>7.45958656</v>
      </c>
      <c r="K10">
        <v>10.56</v>
      </c>
      <c r="L10">
        <f t="shared" si="4"/>
        <v>18.01958656</v>
      </c>
      <c r="M10" s="21">
        <f t="shared" si="5"/>
        <v>9.0097932800000002</v>
      </c>
      <c r="O10">
        <v>3.1703242880000002</v>
      </c>
      <c r="P10">
        <v>8.16</v>
      </c>
      <c r="Q10" s="21">
        <f t="shared" si="1"/>
        <v>11.330324288</v>
      </c>
    </row>
    <row r="11" spans="1:17" x14ac:dyDescent="0.35">
      <c r="A11" t="s">
        <v>22</v>
      </c>
      <c r="B11" s="4">
        <f t="shared" si="0"/>
        <v>68.346955163999993</v>
      </c>
      <c r="C11">
        <v>66.670054879999995</v>
      </c>
      <c r="D11">
        <v>11.212691047999998</v>
      </c>
      <c r="E11">
        <v>44.267983991999991</v>
      </c>
      <c r="F11">
        <v>12.82</v>
      </c>
      <c r="G11">
        <f t="shared" si="2"/>
        <v>134.97072991999997</v>
      </c>
      <c r="H11" s="22">
        <f t="shared" si="3"/>
        <v>33.742682479999992</v>
      </c>
      <c r="J11">
        <v>11.772160039999999</v>
      </c>
      <c r="K11">
        <v>11.38</v>
      </c>
      <c r="L11">
        <f t="shared" si="4"/>
        <v>23.152160039999998</v>
      </c>
      <c r="M11" s="22">
        <f t="shared" si="5"/>
        <v>11.576080019999999</v>
      </c>
      <c r="O11">
        <v>8.9281926639999991</v>
      </c>
      <c r="P11">
        <v>14.1</v>
      </c>
      <c r="Q11" s="22">
        <f t="shared" si="1"/>
        <v>23.028192663999999</v>
      </c>
    </row>
    <row r="12" spans="1:17" ht="21" x14ac:dyDescent="0.5">
      <c r="A12" s="1"/>
      <c r="B12" s="1"/>
      <c r="C12" s="1"/>
      <c r="D12" s="3"/>
      <c r="E12" s="6"/>
      <c r="F12" s="6"/>
      <c r="K12" s="4"/>
    </row>
    <row r="13" spans="1:17" ht="18.5" x14ac:dyDescent="0.45">
      <c r="A13" s="9" t="s">
        <v>61</v>
      </c>
      <c r="B13" s="71">
        <f>SUM(B5:B11)</f>
        <v>327.29569136399999</v>
      </c>
      <c r="C13" s="71"/>
      <c r="D13" s="86"/>
      <c r="E13" s="6"/>
      <c r="F13" s="6"/>
      <c r="K13" s="4"/>
    </row>
    <row r="14" spans="1:17" ht="18.5" x14ac:dyDescent="0.45">
      <c r="A14" s="9" t="s">
        <v>127</v>
      </c>
      <c r="B14" s="71">
        <f>B13/10</f>
        <v>32.729569136400002</v>
      </c>
      <c r="C14" s="71"/>
      <c r="D14" s="86"/>
      <c r="E14" s="6"/>
      <c r="F14" s="6"/>
      <c r="K14" s="4"/>
    </row>
    <row r="15" spans="1:17" ht="21" x14ac:dyDescent="0.5">
      <c r="A15" s="9" t="s">
        <v>60</v>
      </c>
      <c r="B15" s="71">
        <f>B13*4</f>
        <v>1309.182765456</v>
      </c>
      <c r="C15" s="9"/>
      <c r="D15" s="3"/>
      <c r="E15" s="6"/>
      <c r="F15" s="6"/>
    </row>
    <row r="16" spans="1:17" ht="21" x14ac:dyDescent="0.5">
      <c r="A16" s="9" t="s">
        <v>62</v>
      </c>
      <c r="B16" s="72">
        <f>B15*2.75</f>
        <v>3600.2526050040001</v>
      </c>
      <c r="C16" s="9" t="s">
        <v>66</v>
      </c>
      <c r="D16" s="3"/>
      <c r="E16" s="6"/>
      <c r="F16" s="6"/>
    </row>
    <row r="17" spans="1:6" ht="21" x14ac:dyDescent="0.5">
      <c r="A17" s="9" t="s">
        <v>63</v>
      </c>
      <c r="B17" s="72">
        <f>B16*0.453592</f>
        <v>1633.0457796089745</v>
      </c>
      <c r="C17" s="9" t="s">
        <v>65</v>
      </c>
      <c r="D17" s="3"/>
      <c r="E17" s="6"/>
      <c r="F17" s="6"/>
    </row>
    <row r="18" spans="1:6" ht="18.5" x14ac:dyDescent="0.45">
      <c r="A18" s="9" t="s">
        <v>64</v>
      </c>
      <c r="B18" s="68">
        <f>B17*C18</f>
        <v>4131.6058224107055</v>
      </c>
      <c r="C18" s="9">
        <v>2.5299999999999998</v>
      </c>
      <c r="D18" s="78" t="s">
        <v>94</v>
      </c>
    </row>
    <row r="20" spans="1:6" x14ac:dyDescent="0.35">
      <c r="B20" s="85">
        <f>B18/4</f>
        <v>1032.9014556026764</v>
      </c>
    </row>
  </sheetData>
  <pageMargins left="1" right="1" top="1" bottom="1" header="0.5" footer="0.5"/>
  <pageSetup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1"/>
  <sheetViews>
    <sheetView topLeftCell="A7" zoomScaleNormal="100" workbookViewId="0">
      <selection activeCell="C21" sqref="C21"/>
    </sheetView>
  </sheetViews>
  <sheetFormatPr baseColWidth="10" defaultRowHeight="14.5" x14ac:dyDescent="0.35"/>
  <cols>
    <col min="1" max="1" width="19.81640625" bestFit="1" customWidth="1"/>
    <col min="2" max="2" width="20.1796875" customWidth="1"/>
    <col min="3" max="3" width="17.453125" bestFit="1" customWidth="1"/>
    <col min="4" max="4" width="16.1796875" bestFit="1" customWidth="1"/>
    <col min="11" max="11" width="12.54296875" bestFit="1" customWidth="1"/>
  </cols>
  <sheetData>
    <row r="1" spans="1:16" x14ac:dyDescent="0.35">
      <c r="A1" s="33"/>
      <c r="B1" s="33"/>
      <c r="C1" s="33"/>
      <c r="D1" s="33"/>
    </row>
    <row r="2" spans="1:16" ht="21" x14ac:dyDescent="0.5">
      <c r="A2" s="28"/>
      <c r="B2" s="29" t="s">
        <v>49</v>
      </c>
      <c r="C2" s="28"/>
      <c r="D2" s="37" t="s">
        <v>121</v>
      </c>
      <c r="E2" s="1"/>
    </row>
    <row r="3" spans="1:16" ht="21" x14ac:dyDescent="0.5">
      <c r="A3" s="28"/>
      <c r="B3" s="28"/>
      <c r="C3" s="30" t="s">
        <v>8</v>
      </c>
      <c r="D3" s="30"/>
      <c r="E3" s="5"/>
    </row>
    <row r="4" spans="1:16" ht="21" x14ac:dyDescent="0.5">
      <c r="A4" s="28" t="s">
        <v>1</v>
      </c>
      <c r="B4" s="28"/>
      <c r="C4" s="31">
        <f>J6</f>
        <v>33.504662146400001</v>
      </c>
      <c r="D4" s="32" t="s">
        <v>48</v>
      </c>
      <c r="E4" s="6"/>
      <c r="F4">
        <v>15.758376607999999</v>
      </c>
      <c r="G4" s="10">
        <v>6.6436942800000001</v>
      </c>
      <c r="H4" s="2"/>
      <c r="I4" s="52"/>
      <c r="J4" s="52"/>
      <c r="K4" s="52" t="s">
        <v>41</v>
      </c>
      <c r="L4" s="52" t="s">
        <v>26</v>
      </c>
      <c r="M4" s="52" t="s">
        <v>30</v>
      </c>
      <c r="N4" s="52" t="s">
        <v>50</v>
      </c>
      <c r="O4" s="52" t="s">
        <v>27</v>
      </c>
      <c r="P4" s="53" t="s">
        <v>51</v>
      </c>
    </row>
    <row r="5" spans="1:16" ht="21" x14ac:dyDescent="0.5">
      <c r="A5" s="28"/>
      <c r="B5" s="28"/>
      <c r="C5" s="29"/>
      <c r="D5" s="32"/>
      <c r="E5" s="6"/>
      <c r="F5">
        <v>13.567123056</v>
      </c>
      <c r="G5" s="4">
        <v>4.9419760960000003</v>
      </c>
      <c r="I5" s="9" t="s">
        <v>16</v>
      </c>
      <c r="J5" s="19">
        <f>K5*18%+K5</f>
        <v>46.566687004959995</v>
      </c>
      <c r="K5" s="19">
        <f t="shared" ref="K5:K11" si="0">SUM(P5+N5+M5+L5)</f>
        <v>39.463294071999997</v>
      </c>
      <c r="L5">
        <v>15.758376607999999</v>
      </c>
      <c r="M5">
        <v>9.6275289040000001</v>
      </c>
      <c r="N5" s="54">
        <v>0.79</v>
      </c>
      <c r="O5" s="10">
        <v>6.6436942800000001</v>
      </c>
      <c r="P5" s="9">
        <f t="shared" ref="P5:P11" si="1">O5*2</f>
        <v>13.28738856</v>
      </c>
    </row>
    <row r="6" spans="1:16" ht="21" x14ac:dyDescent="0.5">
      <c r="A6" s="28" t="s">
        <v>2</v>
      </c>
      <c r="B6" s="28"/>
      <c r="C6" s="31">
        <f>J7</f>
        <v>31.913150296319998</v>
      </c>
      <c r="D6" s="32" t="s">
        <v>48</v>
      </c>
      <c r="E6" s="6"/>
      <c r="F6">
        <v>14.662749831999999</v>
      </c>
      <c r="G6" s="4">
        <v>4.3825071039999992</v>
      </c>
      <c r="I6" s="9" t="s">
        <v>17</v>
      </c>
      <c r="J6" s="19">
        <f t="shared" ref="J6:J11" si="2">K6*18%+K6</f>
        <v>33.504662146400001</v>
      </c>
      <c r="K6" s="19">
        <f t="shared" si="0"/>
        <v>28.393781480000001</v>
      </c>
      <c r="L6">
        <v>13.567123056</v>
      </c>
      <c r="M6">
        <v>4.1727062319999995</v>
      </c>
      <c r="N6" s="54">
        <v>0.77</v>
      </c>
      <c r="O6" s="4">
        <v>4.9419760960000003</v>
      </c>
      <c r="P6" s="9">
        <f t="shared" si="1"/>
        <v>9.8839521920000006</v>
      </c>
    </row>
    <row r="7" spans="1:16" ht="21" x14ac:dyDescent="0.5">
      <c r="A7" s="28"/>
      <c r="B7" s="28"/>
      <c r="C7" s="29"/>
      <c r="D7" s="32"/>
      <c r="E7" s="6"/>
      <c r="F7">
        <v>14.056658424</v>
      </c>
      <c r="G7" s="4">
        <v>4.4291295199999992</v>
      </c>
      <c r="I7" s="9" t="s">
        <v>18</v>
      </c>
      <c r="J7" s="19">
        <f t="shared" si="2"/>
        <v>31.913150296319998</v>
      </c>
      <c r="K7" s="19">
        <f t="shared" si="0"/>
        <v>27.045042623999997</v>
      </c>
      <c r="L7">
        <v>14.662749831999999</v>
      </c>
      <c r="M7">
        <v>2.8672785839999997</v>
      </c>
      <c r="N7" s="54">
        <v>0.75</v>
      </c>
      <c r="O7" s="4">
        <v>4.3825071039999992</v>
      </c>
      <c r="P7" s="9">
        <f t="shared" si="1"/>
        <v>8.7650142079999984</v>
      </c>
    </row>
    <row r="8" spans="1:16" ht="21" x14ac:dyDescent="0.5">
      <c r="A8" s="28" t="s">
        <v>3</v>
      </c>
      <c r="B8" s="28"/>
      <c r="C8" s="31">
        <f>J8</f>
        <v>31.225313012959994</v>
      </c>
      <c r="D8" s="32" t="s">
        <v>48</v>
      </c>
      <c r="E8" s="6"/>
      <c r="F8">
        <v>13.124210103999999</v>
      </c>
      <c r="G8" s="4">
        <v>5.3615778399999989</v>
      </c>
      <c r="I8" s="9" t="s">
        <v>19</v>
      </c>
      <c r="J8" s="19">
        <f t="shared" si="2"/>
        <v>31.225313012959994</v>
      </c>
      <c r="K8" s="19">
        <f t="shared" si="0"/>
        <v>26.462129671999996</v>
      </c>
      <c r="L8">
        <v>14.056658424</v>
      </c>
      <c r="M8">
        <v>2.937212208</v>
      </c>
      <c r="N8" s="54">
        <v>0.61</v>
      </c>
      <c r="O8" s="4">
        <v>4.4291295199999992</v>
      </c>
      <c r="P8" s="9">
        <f t="shared" si="1"/>
        <v>8.8582590399999983</v>
      </c>
    </row>
    <row r="9" spans="1:16" ht="21" x14ac:dyDescent="0.5">
      <c r="A9" s="28"/>
      <c r="B9" s="28"/>
      <c r="C9" s="29"/>
      <c r="D9" s="32"/>
      <c r="E9" s="6"/>
      <c r="F9">
        <v>15.525264527999999</v>
      </c>
      <c r="G9" s="4">
        <v>5.6646235440000003</v>
      </c>
      <c r="I9" s="9" t="s">
        <v>20</v>
      </c>
      <c r="J9" s="19">
        <f t="shared" si="2"/>
        <v>33.55569104816</v>
      </c>
      <c r="K9" s="19">
        <f t="shared" si="0"/>
        <v>28.437026311999997</v>
      </c>
      <c r="L9">
        <v>13.124210103999999</v>
      </c>
      <c r="M9">
        <v>3.8696605279999998</v>
      </c>
      <c r="N9" s="54">
        <v>0.72</v>
      </c>
      <c r="O9" s="4">
        <v>5.3615778399999989</v>
      </c>
      <c r="P9" s="9">
        <f t="shared" si="1"/>
        <v>10.723155679999998</v>
      </c>
    </row>
    <row r="10" spans="1:16" ht="21" x14ac:dyDescent="0.5">
      <c r="A10" s="28" t="s">
        <v>4</v>
      </c>
      <c r="B10" s="28"/>
      <c r="C10" s="31">
        <f>J9</f>
        <v>33.55569104816</v>
      </c>
      <c r="D10" s="32" t="s">
        <v>48</v>
      </c>
      <c r="E10" s="6"/>
      <c r="F10">
        <v>21.656112231999998</v>
      </c>
      <c r="G10" s="4">
        <v>6.7136279039999991</v>
      </c>
      <c r="I10" s="9" t="s">
        <v>21</v>
      </c>
      <c r="J10" s="19">
        <f t="shared" si="2"/>
        <v>37.080523129919996</v>
      </c>
      <c r="K10" s="19">
        <f t="shared" si="0"/>
        <v>31.424172143999996</v>
      </c>
      <c r="L10">
        <v>15.525264527999999</v>
      </c>
      <c r="M10">
        <v>3.8696605279999998</v>
      </c>
      <c r="N10" s="54">
        <v>0.7</v>
      </c>
      <c r="O10" s="4">
        <v>5.6646235440000003</v>
      </c>
      <c r="P10" s="9">
        <f t="shared" si="1"/>
        <v>11.329247088000001</v>
      </c>
    </row>
    <row r="11" spans="1:16" ht="21" x14ac:dyDescent="0.5">
      <c r="A11" s="28"/>
      <c r="B11" s="28"/>
      <c r="C11" s="29"/>
      <c r="D11" s="32"/>
      <c r="E11" s="6"/>
      <c r="G11" s="4"/>
      <c r="I11" s="9" t="s">
        <v>22</v>
      </c>
      <c r="J11" s="19">
        <f t="shared" si="2"/>
        <v>56.422949723839992</v>
      </c>
      <c r="K11" s="19">
        <f t="shared" si="0"/>
        <v>47.816059087999996</v>
      </c>
      <c r="L11">
        <v>21.656112231999998</v>
      </c>
      <c r="M11">
        <v>11.212691047999998</v>
      </c>
      <c r="N11" s="54">
        <v>1.52</v>
      </c>
      <c r="O11" s="4">
        <v>6.7136279039999991</v>
      </c>
      <c r="P11" s="9">
        <f t="shared" si="1"/>
        <v>13.427255807999998</v>
      </c>
    </row>
    <row r="12" spans="1:16" ht="21" x14ac:dyDescent="0.5">
      <c r="A12" s="28" t="s">
        <v>5</v>
      </c>
      <c r="B12" s="28"/>
      <c r="C12" s="31">
        <f>J10</f>
        <v>37.080523129919996</v>
      </c>
      <c r="D12" s="32" t="s">
        <v>48</v>
      </c>
      <c r="E12" s="6"/>
      <c r="G12" s="4"/>
      <c r="I12" s="4"/>
      <c r="J12" s="4"/>
      <c r="K12" s="4"/>
    </row>
    <row r="13" spans="1:16" ht="21" x14ac:dyDescent="0.5">
      <c r="A13" s="28"/>
      <c r="B13" s="28"/>
      <c r="C13" s="29"/>
      <c r="D13" s="32"/>
      <c r="E13" s="6"/>
      <c r="I13" s="4"/>
      <c r="J13" s="4"/>
    </row>
    <row r="14" spans="1:16" ht="21" x14ac:dyDescent="0.5">
      <c r="A14" s="28" t="s">
        <v>6</v>
      </c>
      <c r="B14" s="28"/>
      <c r="C14" s="31">
        <f>J11</f>
        <v>56.422949723839992</v>
      </c>
      <c r="D14" s="32" t="s">
        <v>48</v>
      </c>
      <c r="E14" s="6"/>
      <c r="I14" s="4"/>
      <c r="J14" s="4"/>
    </row>
    <row r="15" spans="1:16" ht="21" x14ac:dyDescent="0.5">
      <c r="A15" s="28"/>
      <c r="B15" s="28"/>
      <c r="C15" s="29"/>
      <c r="D15" s="32"/>
      <c r="E15" s="6"/>
      <c r="I15" s="4"/>
      <c r="J15" s="4"/>
      <c r="K15" s="4"/>
      <c r="L15">
        <v>12.63</v>
      </c>
      <c r="M15">
        <v>4.03</v>
      </c>
      <c r="N15">
        <v>6.42</v>
      </c>
    </row>
    <row r="16" spans="1:16" ht="21" x14ac:dyDescent="0.5">
      <c r="A16" s="55" t="s">
        <v>7</v>
      </c>
      <c r="B16" s="55"/>
      <c r="C16" s="56">
        <f>J5</f>
        <v>46.566687004959995</v>
      </c>
      <c r="D16" s="32" t="s">
        <v>48</v>
      </c>
      <c r="E16" s="6"/>
      <c r="K16" s="4"/>
      <c r="L16">
        <v>9.2200000000000006</v>
      </c>
      <c r="M16">
        <v>2.3199999999999998</v>
      </c>
      <c r="N16">
        <v>2.19</v>
      </c>
    </row>
    <row r="17" spans="1:14" ht="21" x14ac:dyDescent="0.5">
      <c r="A17" s="48"/>
      <c r="B17" s="48"/>
      <c r="C17" s="60"/>
      <c r="D17" s="6"/>
      <c r="E17" s="6"/>
      <c r="F17" t="s">
        <v>126</v>
      </c>
      <c r="K17" s="4"/>
      <c r="L17" s="4">
        <v>7.72</v>
      </c>
      <c r="M17">
        <v>3</v>
      </c>
      <c r="N17">
        <v>1.37</v>
      </c>
    </row>
    <row r="18" spans="1:14" ht="21" x14ac:dyDescent="0.5">
      <c r="A18" s="57" t="s">
        <v>69</v>
      </c>
      <c r="B18" s="58"/>
      <c r="C18" s="59">
        <f>SUM(C4:C16)</f>
        <v>270.26897636255995</v>
      </c>
      <c r="E18">
        <f>C18*290</f>
        <v>78378.003145142386</v>
      </c>
      <c r="F18">
        <f>E18/1000</f>
        <v>78.378003145142387</v>
      </c>
      <c r="G18" t="s">
        <v>94</v>
      </c>
      <c r="K18" s="4"/>
      <c r="L18" s="4">
        <v>7.65</v>
      </c>
      <c r="M18">
        <v>3.48</v>
      </c>
      <c r="N18">
        <v>2.5299999999999998</v>
      </c>
    </row>
    <row r="19" spans="1:14" ht="21" x14ac:dyDescent="0.5">
      <c r="A19" s="57" t="s">
        <v>93</v>
      </c>
      <c r="B19" s="58">
        <v>290</v>
      </c>
      <c r="C19" s="59">
        <f>(C18*B19)*4</f>
        <v>313512.01258056954</v>
      </c>
      <c r="D19" t="s">
        <v>95</v>
      </c>
      <c r="K19" s="4"/>
      <c r="L19" s="4">
        <v>10.79</v>
      </c>
      <c r="M19">
        <v>3.62</v>
      </c>
      <c r="N19">
        <v>2.3199999999999998</v>
      </c>
    </row>
    <row r="20" spans="1:14" ht="21" x14ac:dyDescent="0.5">
      <c r="A20" s="57" t="s">
        <v>96</v>
      </c>
      <c r="B20" s="73">
        <v>4.4800000000000004</v>
      </c>
      <c r="C20" s="59">
        <f>C19/1000</f>
        <v>313.51201258056955</v>
      </c>
      <c r="D20" t="s">
        <v>94</v>
      </c>
      <c r="L20" s="4">
        <v>10.11</v>
      </c>
      <c r="M20">
        <v>1.84</v>
      </c>
      <c r="N20">
        <v>2.25</v>
      </c>
    </row>
    <row r="21" spans="1:14" ht="21" x14ac:dyDescent="0.5">
      <c r="A21" s="28" t="s">
        <v>70</v>
      </c>
      <c r="B21" s="47"/>
      <c r="C21" s="74">
        <f>C20*B20</f>
        <v>1404.5338163609517</v>
      </c>
      <c r="E21" s="85">
        <f>C21/4</f>
        <v>351.13345409023793</v>
      </c>
      <c r="L21" s="4">
        <v>17.48</v>
      </c>
      <c r="M21">
        <v>5.6</v>
      </c>
      <c r="N21">
        <v>7.72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topLeftCell="A7" workbookViewId="0">
      <selection activeCell="H17" sqref="H17"/>
    </sheetView>
  </sheetViews>
  <sheetFormatPr baseColWidth="10" defaultRowHeight="14.5" x14ac:dyDescent="0.35"/>
  <cols>
    <col min="1" max="1" width="18.453125" bestFit="1" customWidth="1"/>
    <col min="2" max="2" width="25.453125" customWidth="1"/>
    <col min="3" max="3" width="14" bestFit="1" customWidth="1"/>
    <col min="8" max="8" width="12.54296875" bestFit="1" customWidth="1"/>
  </cols>
  <sheetData>
    <row r="1" spans="1:11" x14ac:dyDescent="0.35">
      <c r="A1" s="33"/>
      <c r="B1" s="45"/>
      <c r="C1" s="9"/>
    </row>
    <row r="2" spans="1:11" ht="21" x14ac:dyDescent="0.5">
      <c r="A2" s="28"/>
      <c r="B2" s="46" t="s">
        <v>67</v>
      </c>
      <c r="C2" s="48"/>
    </row>
    <row r="3" spans="1:11" ht="21" x14ac:dyDescent="0.5">
      <c r="A3" s="28"/>
      <c r="B3" s="46" t="s">
        <v>74</v>
      </c>
      <c r="C3" s="49" t="s">
        <v>68</v>
      </c>
    </row>
    <row r="4" spans="1:11" ht="21" x14ac:dyDescent="0.5">
      <c r="A4" s="28" t="s">
        <v>1</v>
      </c>
      <c r="B4" s="47">
        <f>H5</f>
        <v>2.3054784711999998</v>
      </c>
      <c r="C4" s="50">
        <f>B4*4</f>
        <v>9.2219138847999993</v>
      </c>
      <c r="F4">
        <v>2.610855296</v>
      </c>
      <c r="G4" s="24">
        <f>F4*15%</f>
        <v>0.39162829439999997</v>
      </c>
      <c r="H4" s="25">
        <f>F4+G4</f>
        <v>3.0024835903999998</v>
      </c>
      <c r="J4" s="2"/>
      <c r="K4" s="2"/>
    </row>
    <row r="5" spans="1:11" ht="21" x14ac:dyDescent="0.5">
      <c r="A5" s="28"/>
      <c r="B5" s="46"/>
      <c r="C5" s="50"/>
      <c r="F5">
        <v>2.0047638879999998</v>
      </c>
      <c r="G5" s="24">
        <f t="shared" ref="G5:G10" si="0">F5*15%</f>
        <v>0.30071458319999994</v>
      </c>
      <c r="H5" s="26">
        <f t="shared" ref="H5:H10" si="1">F5+G5</f>
        <v>2.3054784711999998</v>
      </c>
    </row>
    <row r="6" spans="1:11" ht="21" x14ac:dyDescent="0.5">
      <c r="A6" s="28" t="s">
        <v>2</v>
      </c>
      <c r="B6" s="47">
        <f>H6</f>
        <v>2.1446311360000001</v>
      </c>
      <c r="C6" s="50">
        <f>B6*4</f>
        <v>8.5785245440000004</v>
      </c>
      <c r="F6">
        <v>1.86489664</v>
      </c>
      <c r="G6" s="24">
        <f t="shared" si="0"/>
        <v>0.279734496</v>
      </c>
      <c r="H6" s="26">
        <f t="shared" si="1"/>
        <v>2.1446311360000001</v>
      </c>
    </row>
    <row r="7" spans="1:11" ht="21" x14ac:dyDescent="0.5">
      <c r="A7" s="28"/>
      <c r="B7" s="46"/>
      <c r="C7" s="50"/>
      <c r="F7">
        <v>2.261187176</v>
      </c>
      <c r="G7" s="24">
        <f t="shared" si="0"/>
        <v>0.33917807639999997</v>
      </c>
      <c r="H7" s="26">
        <f t="shared" si="1"/>
        <v>2.6003652524</v>
      </c>
    </row>
    <row r="8" spans="1:11" ht="21" x14ac:dyDescent="0.5">
      <c r="A8" s="28" t="s">
        <v>3</v>
      </c>
      <c r="B8" s="47">
        <f>H7</f>
        <v>2.6003652524</v>
      </c>
      <c r="C8" s="50">
        <f>B8*4</f>
        <v>10.4014610096</v>
      </c>
      <c r="F8">
        <v>1.6084733519999999</v>
      </c>
      <c r="G8" s="24">
        <f t="shared" si="0"/>
        <v>0.24127100279999997</v>
      </c>
      <c r="H8" s="26">
        <f t="shared" si="1"/>
        <v>1.8497443547999999</v>
      </c>
    </row>
    <row r="9" spans="1:11" ht="21" x14ac:dyDescent="0.5">
      <c r="A9" s="28"/>
      <c r="B9" s="46"/>
      <c r="C9" s="50"/>
      <c r="F9">
        <v>2.7507225439999998</v>
      </c>
      <c r="G9" s="24">
        <f t="shared" si="0"/>
        <v>0.41260838159999996</v>
      </c>
      <c r="H9" s="26">
        <f t="shared" si="1"/>
        <v>3.1633309256</v>
      </c>
    </row>
    <row r="10" spans="1:11" ht="21" x14ac:dyDescent="0.5">
      <c r="A10" s="28" t="s">
        <v>4</v>
      </c>
      <c r="B10" s="47">
        <f>H8</f>
        <v>1.8497443547999999</v>
      </c>
      <c r="C10" s="50">
        <f>B10*4</f>
        <v>7.3989774191999995</v>
      </c>
      <c r="F10">
        <v>3.3801251599999995</v>
      </c>
      <c r="G10" s="24">
        <f t="shared" si="0"/>
        <v>0.50701877399999995</v>
      </c>
      <c r="H10" s="27">
        <f t="shared" si="1"/>
        <v>3.8871439339999996</v>
      </c>
    </row>
    <row r="11" spans="1:11" ht="21" x14ac:dyDescent="0.5">
      <c r="A11" s="28"/>
      <c r="B11" s="46"/>
      <c r="C11" s="50"/>
      <c r="E11" s="4"/>
      <c r="H11" s="4"/>
    </row>
    <row r="12" spans="1:11" ht="21" x14ac:dyDescent="0.5">
      <c r="A12" s="28" t="s">
        <v>5</v>
      </c>
      <c r="B12" s="47">
        <f>H9</f>
        <v>3.1633309256</v>
      </c>
      <c r="C12" s="50">
        <f>B12*4</f>
        <v>12.6533237024</v>
      </c>
      <c r="E12" s="4"/>
      <c r="H12" s="4"/>
    </row>
    <row r="13" spans="1:11" ht="21" x14ac:dyDescent="0.5">
      <c r="A13" s="28"/>
      <c r="B13" s="46"/>
      <c r="C13" s="50"/>
      <c r="H13" s="4"/>
    </row>
    <row r="14" spans="1:11" ht="21" x14ac:dyDescent="0.5">
      <c r="A14" s="28" t="s">
        <v>6</v>
      </c>
      <c r="B14" s="47">
        <f>H10</f>
        <v>3.8871439339999996</v>
      </c>
      <c r="C14" s="50">
        <f>B14*4</f>
        <v>15.548575735999998</v>
      </c>
    </row>
    <row r="15" spans="1:11" ht="21" x14ac:dyDescent="0.5">
      <c r="A15" s="28"/>
      <c r="B15" s="46"/>
      <c r="C15" s="50"/>
    </row>
    <row r="16" spans="1:11" ht="21" x14ac:dyDescent="0.5">
      <c r="A16" s="28" t="s">
        <v>7</v>
      </c>
      <c r="B16" s="47">
        <f>H4</f>
        <v>3.0024835903999998</v>
      </c>
      <c r="C16" s="50">
        <f>B16*4</f>
        <v>12.009934361599999</v>
      </c>
      <c r="E16" s="4">
        <f>SUM(B4:B16)</f>
        <v>18.953177664399998</v>
      </c>
      <c r="F16" t="s">
        <v>116</v>
      </c>
    </row>
    <row r="17" spans="1:5" ht="21" x14ac:dyDescent="0.5">
      <c r="A17" s="28"/>
      <c r="C17" s="50"/>
      <c r="E17" s="4"/>
    </row>
    <row r="18" spans="1:5" ht="21" x14ac:dyDescent="0.5">
      <c r="A18" s="28" t="s">
        <v>69</v>
      </c>
      <c r="B18" s="50">
        <f>SUM(B4:B16)</f>
        <v>18.953177664399998</v>
      </c>
      <c r="C18" s="50">
        <f>SUM(C4:C16)</f>
        <v>75.812710657599993</v>
      </c>
    </row>
    <row r="19" spans="1:5" ht="21" x14ac:dyDescent="0.5">
      <c r="A19" s="28" t="s">
        <v>97</v>
      </c>
      <c r="B19" s="47">
        <v>460</v>
      </c>
      <c r="C19" s="50">
        <f>C18*B19</f>
        <v>34873.846902496</v>
      </c>
    </row>
    <row r="20" spans="1:5" ht="21" x14ac:dyDescent="0.5">
      <c r="A20" s="28" t="s">
        <v>98</v>
      </c>
      <c r="B20" s="75">
        <v>8.1999999999999993</v>
      </c>
      <c r="C20" s="50">
        <f>C19/1000</f>
        <v>34.873846902495998</v>
      </c>
      <c r="D20" t="s">
        <v>94</v>
      </c>
      <c r="E20">
        <f>C20/4</f>
        <v>8.7184617256239996</v>
      </c>
    </row>
    <row r="21" spans="1:5" ht="21" x14ac:dyDescent="0.5">
      <c r="A21" s="28" t="s">
        <v>70</v>
      </c>
      <c r="B21" s="47"/>
      <c r="C21" s="51">
        <f>C20*B20</f>
        <v>285.96554460046718</v>
      </c>
    </row>
    <row r="22" spans="1:5" x14ac:dyDescent="0.35">
      <c r="E22" s="85">
        <f>C21/4</f>
        <v>71.491386150116796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"/>
  <sheetViews>
    <sheetView topLeftCell="A4" workbookViewId="0">
      <selection activeCell="F18" sqref="F17:F18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14" bestFit="1" customWidth="1"/>
    <col min="9" max="9" width="12.54296875" bestFit="1" customWidth="1"/>
  </cols>
  <sheetData>
    <row r="1" spans="1:12" x14ac:dyDescent="0.35">
      <c r="A1" s="33"/>
      <c r="B1" s="45"/>
      <c r="C1" s="9"/>
    </row>
    <row r="2" spans="1:12" ht="21" x14ac:dyDescent="0.5">
      <c r="A2" s="28"/>
      <c r="B2" s="46" t="s">
        <v>71</v>
      </c>
      <c r="C2" s="48"/>
    </row>
    <row r="3" spans="1:12" ht="21" x14ac:dyDescent="0.5">
      <c r="A3" s="28"/>
      <c r="B3" s="46" t="s">
        <v>46</v>
      </c>
      <c r="C3" s="49" t="s">
        <v>68</v>
      </c>
      <c r="F3" t="s">
        <v>119</v>
      </c>
    </row>
    <row r="4" spans="1:12" ht="21" x14ac:dyDescent="0.5">
      <c r="A4" s="28" t="s">
        <v>1</v>
      </c>
      <c r="B4" s="47">
        <f>I5</f>
        <v>4.0161439339999996</v>
      </c>
      <c r="C4" s="50">
        <f>B4*4</f>
        <v>16.064575735999998</v>
      </c>
      <c r="F4">
        <v>0.86</v>
      </c>
      <c r="G4">
        <v>6.4338934079999994</v>
      </c>
      <c r="H4" s="24">
        <f>(G4+F4)*15%</f>
        <v>1.0940840111999999</v>
      </c>
      <c r="I4" s="25">
        <f>G4+H4</f>
        <v>7.5279774191999991</v>
      </c>
      <c r="K4" s="2"/>
      <c r="L4" s="2"/>
    </row>
    <row r="5" spans="1:12" ht="21" x14ac:dyDescent="0.5">
      <c r="A5" s="28"/>
      <c r="B5" s="46"/>
      <c r="C5" s="50"/>
      <c r="F5">
        <v>0.86</v>
      </c>
      <c r="G5">
        <v>3.3801251599999995</v>
      </c>
      <c r="H5" s="24">
        <f t="shared" ref="H5:H10" si="0">(G5+F5)*15%</f>
        <v>0.63601877399999995</v>
      </c>
      <c r="I5" s="26">
        <f t="shared" ref="I5:I10" si="1">G5+H5</f>
        <v>4.0161439339999996</v>
      </c>
    </row>
    <row r="6" spans="1:12" ht="21" x14ac:dyDescent="0.5">
      <c r="A6" s="28" t="s">
        <v>2</v>
      </c>
      <c r="B6" s="47">
        <f>I6</f>
        <v>3.4302940392000001</v>
      </c>
      <c r="C6" s="50">
        <f>B6*4</f>
        <v>13.7211761568</v>
      </c>
      <c r="F6">
        <v>0.35</v>
      </c>
      <c r="G6">
        <v>2.937212208</v>
      </c>
      <c r="H6" s="24">
        <f t="shared" si="0"/>
        <v>0.49308183119999999</v>
      </c>
      <c r="I6" s="26">
        <f t="shared" si="1"/>
        <v>3.4302940392000001</v>
      </c>
    </row>
    <row r="7" spans="1:12" ht="21" x14ac:dyDescent="0.5">
      <c r="A7" s="28"/>
      <c r="B7" s="46"/>
      <c r="C7" s="50"/>
      <c r="F7">
        <v>0.75</v>
      </c>
      <c r="G7">
        <v>4.6855528079999988</v>
      </c>
      <c r="H7" s="24">
        <f t="shared" si="0"/>
        <v>0.81533292119999978</v>
      </c>
      <c r="I7" s="26">
        <f t="shared" si="1"/>
        <v>5.5008857291999984</v>
      </c>
    </row>
    <row r="8" spans="1:12" ht="21" x14ac:dyDescent="0.5">
      <c r="A8" s="28" t="s">
        <v>3</v>
      </c>
      <c r="B8" s="47">
        <f>I7</f>
        <v>5.5008857291999984</v>
      </c>
      <c r="C8" s="50">
        <f>B8*4</f>
        <v>22.003542916799994</v>
      </c>
      <c r="F8">
        <v>0.84</v>
      </c>
      <c r="G8">
        <v>4.3125734800000002</v>
      </c>
      <c r="H8" s="24">
        <f t="shared" si="0"/>
        <v>0.77288602200000001</v>
      </c>
      <c r="I8" s="26">
        <f t="shared" si="1"/>
        <v>5.085459502</v>
      </c>
    </row>
    <row r="9" spans="1:12" ht="21" x14ac:dyDescent="0.5">
      <c r="A9" s="28"/>
      <c r="B9" s="46"/>
      <c r="C9" s="50"/>
      <c r="F9">
        <v>0.79</v>
      </c>
      <c r="G9">
        <v>5.1284657600000001</v>
      </c>
      <c r="H9" s="24">
        <f t="shared" si="0"/>
        <v>0.88776986400000002</v>
      </c>
      <c r="I9" s="26">
        <f t="shared" si="1"/>
        <v>6.0162356240000001</v>
      </c>
    </row>
    <row r="10" spans="1:12" ht="21" x14ac:dyDescent="0.5">
      <c r="A10" s="28" t="s">
        <v>4</v>
      </c>
      <c r="B10" s="47">
        <f>I8</f>
        <v>5.085459502</v>
      </c>
      <c r="C10" s="50">
        <f>B10*4</f>
        <v>20.341838008</v>
      </c>
      <c r="F10">
        <v>0.89</v>
      </c>
      <c r="G10">
        <v>7.8558770959999995</v>
      </c>
      <c r="H10" s="24">
        <f t="shared" si="0"/>
        <v>1.3118815643999999</v>
      </c>
      <c r="I10" s="27">
        <f t="shared" si="1"/>
        <v>9.1677586603999988</v>
      </c>
    </row>
    <row r="11" spans="1:12" ht="21" x14ac:dyDescent="0.5">
      <c r="A11" s="28"/>
      <c r="B11" s="46"/>
      <c r="C11" s="50"/>
      <c r="E11" s="4"/>
      <c r="F11" s="4"/>
      <c r="I11" s="4"/>
    </row>
    <row r="12" spans="1:12" ht="21" x14ac:dyDescent="0.5">
      <c r="A12" s="28" t="s">
        <v>5</v>
      </c>
      <c r="B12" s="47">
        <f>I9</f>
        <v>6.0162356240000001</v>
      </c>
      <c r="C12" s="50">
        <f>B12*4</f>
        <v>24.064942496</v>
      </c>
      <c r="E12" s="4"/>
      <c r="F12" s="4"/>
      <c r="I12" s="4"/>
    </row>
    <row r="13" spans="1:12" ht="21" x14ac:dyDescent="0.5">
      <c r="A13" s="28"/>
      <c r="B13" s="46"/>
      <c r="C13" s="50"/>
      <c r="I13" s="4"/>
    </row>
    <row r="14" spans="1:12" ht="21" x14ac:dyDescent="0.5">
      <c r="A14" s="28" t="s">
        <v>6</v>
      </c>
      <c r="B14" s="47">
        <f>I10</f>
        <v>9.1677586603999988</v>
      </c>
      <c r="C14" s="50">
        <f>B14*4</f>
        <v>36.671034641599995</v>
      </c>
    </row>
    <row r="15" spans="1:12" ht="21" x14ac:dyDescent="0.5">
      <c r="A15" s="28"/>
      <c r="B15" s="46"/>
      <c r="C15" s="50"/>
    </row>
    <row r="16" spans="1:12" ht="21" x14ac:dyDescent="0.5">
      <c r="A16" s="28" t="s">
        <v>7</v>
      </c>
      <c r="B16" s="47">
        <f>I4</f>
        <v>7.5279774191999991</v>
      </c>
      <c r="C16" s="50">
        <f>B16*4</f>
        <v>30.111909676799996</v>
      </c>
    </row>
    <row r="17" spans="1:7" ht="21" x14ac:dyDescent="0.5">
      <c r="A17" s="28"/>
      <c r="B17" s="47"/>
      <c r="C17" s="50"/>
    </row>
    <row r="18" spans="1:7" ht="21" x14ac:dyDescent="0.5">
      <c r="A18" s="28" t="s">
        <v>69</v>
      </c>
      <c r="B18" s="47"/>
      <c r="C18" s="50">
        <f>SUM(C4:C16)</f>
        <v>162.97901963199999</v>
      </c>
    </row>
    <row r="19" spans="1:7" ht="21" x14ac:dyDescent="0.5">
      <c r="A19" s="28" t="s">
        <v>72</v>
      </c>
      <c r="B19" s="47">
        <v>370</v>
      </c>
      <c r="C19" s="50">
        <f>C18*B19</f>
        <v>60302.237263839997</v>
      </c>
      <c r="D19" t="s">
        <v>73</v>
      </c>
    </row>
    <row r="20" spans="1:7" ht="21" x14ac:dyDescent="0.5">
      <c r="A20" s="55" t="s">
        <v>99</v>
      </c>
      <c r="B20" s="77">
        <v>6.49</v>
      </c>
      <c r="C20" s="76">
        <f>C19/1000</f>
        <v>60.302237263839999</v>
      </c>
      <c r="D20" t="s">
        <v>65</v>
      </c>
      <c r="E20">
        <f>C20/4</f>
        <v>15.07555931596</v>
      </c>
      <c r="G20" s="85"/>
    </row>
    <row r="21" spans="1:7" ht="21" x14ac:dyDescent="0.5">
      <c r="A21" s="48" t="s">
        <v>70</v>
      </c>
      <c r="B21" s="9"/>
      <c r="C21" s="51">
        <f>C20*B20</f>
        <v>391.36151984232163</v>
      </c>
      <c r="E21" s="85">
        <f>C21/4</f>
        <v>97.840379960580407</v>
      </c>
      <c r="F21" s="8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topLeftCell="A7" workbookViewId="0">
      <selection activeCell="G17" sqref="G17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14" bestFit="1" customWidth="1"/>
    <col min="8" max="8" width="12.54296875" bestFit="1" customWidth="1"/>
  </cols>
  <sheetData>
    <row r="1" spans="1:11" x14ac:dyDescent="0.35">
      <c r="A1" s="33"/>
      <c r="B1" s="45"/>
      <c r="C1" s="9"/>
    </row>
    <row r="2" spans="1:11" ht="21" x14ac:dyDescent="0.5">
      <c r="A2" s="28"/>
      <c r="B2" s="46" t="s">
        <v>132</v>
      </c>
      <c r="C2" s="48"/>
    </row>
    <row r="3" spans="1:11" ht="21" x14ac:dyDescent="0.5">
      <c r="A3" s="28"/>
      <c r="B3" s="46" t="s">
        <v>46</v>
      </c>
      <c r="C3" s="49" t="s">
        <v>68</v>
      </c>
    </row>
    <row r="4" spans="1:11" ht="21" x14ac:dyDescent="0.5">
      <c r="A4" s="28" t="s">
        <v>1</v>
      </c>
      <c r="B4" s="47">
        <f>H5</f>
        <v>1.7180360295999999</v>
      </c>
      <c r="C4" s="50">
        <f>B4*4</f>
        <v>6.8721441183999996</v>
      </c>
      <c r="F4">
        <v>3.3101915359999996</v>
      </c>
      <c r="G4" s="24">
        <f>F4*10%</f>
        <v>0.3310191536</v>
      </c>
      <c r="H4" s="25">
        <f>F4+G4</f>
        <v>3.6412106895999994</v>
      </c>
      <c r="J4" s="2"/>
      <c r="K4" s="2"/>
    </row>
    <row r="5" spans="1:11" ht="21" x14ac:dyDescent="0.5">
      <c r="A5" s="28"/>
      <c r="B5" s="46"/>
      <c r="C5" s="50"/>
      <c r="F5">
        <v>1.5618509359999999</v>
      </c>
      <c r="G5" s="24">
        <f t="shared" ref="G5:G10" si="0">F5*10%</f>
        <v>0.15618509359999999</v>
      </c>
      <c r="H5" s="26">
        <f t="shared" ref="H5:H10" si="1">F5+G5</f>
        <v>1.7180360295999999</v>
      </c>
    </row>
    <row r="6" spans="1:11" ht="21" x14ac:dyDescent="0.5">
      <c r="A6" s="28" t="s">
        <v>2</v>
      </c>
      <c r="B6" s="47">
        <f>H6</f>
        <v>1.7949630159999999</v>
      </c>
      <c r="C6" s="50">
        <f>B6*4</f>
        <v>7.1798520639999994</v>
      </c>
      <c r="F6">
        <v>1.6317845599999998</v>
      </c>
      <c r="G6" s="24">
        <f t="shared" si="0"/>
        <v>0.163178456</v>
      </c>
      <c r="H6" s="26">
        <f t="shared" si="1"/>
        <v>1.7949630159999999</v>
      </c>
    </row>
    <row r="7" spans="1:11" ht="21" x14ac:dyDescent="0.5">
      <c r="A7" s="28"/>
      <c r="B7" s="46"/>
      <c r="C7" s="50"/>
      <c r="F7">
        <v>1.9348302639999999</v>
      </c>
      <c r="G7" s="24">
        <f t="shared" si="0"/>
        <v>0.19348302640000001</v>
      </c>
      <c r="H7" s="26">
        <f t="shared" si="1"/>
        <v>2.1283132903999999</v>
      </c>
    </row>
    <row r="8" spans="1:11" ht="21" x14ac:dyDescent="0.5">
      <c r="A8" s="28" t="s">
        <v>3</v>
      </c>
      <c r="B8" s="47">
        <f>H7</f>
        <v>2.1283132903999999</v>
      </c>
      <c r="C8" s="50">
        <f>B8*4</f>
        <v>8.5132531615999998</v>
      </c>
      <c r="F8">
        <v>1.7483405999999999</v>
      </c>
      <c r="G8" s="24">
        <f t="shared" si="0"/>
        <v>0.17483406000000001</v>
      </c>
      <c r="H8" s="26">
        <f t="shared" si="1"/>
        <v>1.9231746599999999</v>
      </c>
    </row>
    <row r="9" spans="1:11" ht="21" x14ac:dyDescent="0.5">
      <c r="A9" s="28"/>
      <c r="B9" s="46"/>
      <c r="C9" s="50"/>
      <c r="F9">
        <v>2.237875968</v>
      </c>
      <c r="G9" s="24">
        <f t="shared" si="0"/>
        <v>0.22378759680000002</v>
      </c>
      <c r="H9" s="26">
        <f t="shared" si="1"/>
        <v>2.4616635647999998</v>
      </c>
    </row>
    <row r="10" spans="1:11" ht="21" x14ac:dyDescent="0.5">
      <c r="A10" s="28" t="s">
        <v>4</v>
      </c>
      <c r="B10" s="47">
        <f>H8</f>
        <v>1.9231746599999999</v>
      </c>
      <c r="C10" s="50">
        <f>B10*4</f>
        <v>7.6926986399999997</v>
      </c>
      <c r="F10">
        <v>3.1703242880000002</v>
      </c>
      <c r="G10" s="24">
        <f t="shared" si="0"/>
        <v>0.31703242880000004</v>
      </c>
      <c r="H10" s="27">
        <f t="shared" si="1"/>
        <v>3.4873567168000004</v>
      </c>
    </row>
    <row r="11" spans="1:11" ht="21" x14ac:dyDescent="0.5">
      <c r="A11" s="28"/>
      <c r="B11" s="46"/>
      <c r="C11" s="50"/>
      <c r="E11" s="4"/>
      <c r="H11" s="4"/>
    </row>
    <row r="12" spans="1:11" ht="21" x14ac:dyDescent="0.5">
      <c r="A12" s="28" t="s">
        <v>5</v>
      </c>
      <c r="B12" s="47">
        <f>H9</f>
        <v>2.4616635647999998</v>
      </c>
      <c r="C12" s="50">
        <f>B12*4</f>
        <v>9.8466542591999993</v>
      </c>
      <c r="E12" s="4"/>
      <c r="H12" s="4"/>
    </row>
    <row r="13" spans="1:11" ht="21" x14ac:dyDescent="0.5">
      <c r="A13" s="28"/>
      <c r="B13" s="46"/>
      <c r="C13" s="50"/>
      <c r="H13" s="4"/>
    </row>
    <row r="14" spans="1:11" ht="21" x14ac:dyDescent="0.5">
      <c r="A14" s="28" t="s">
        <v>6</v>
      </c>
      <c r="B14" s="47">
        <f>H10</f>
        <v>3.4873567168000004</v>
      </c>
      <c r="C14" s="50">
        <f>B14*4</f>
        <v>13.949426867200001</v>
      </c>
    </row>
    <row r="15" spans="1:11" ht="21" x14ac:dyDescent="0.5">
      <c r="A15" s="28"/>
      <c r="B15" s="46"/>
      <c r="C15" s="50"/>
    </row>
    <row r="16" spans="1:11" ht="21" x14ac:dyDescent="0.5">
      <c r="A16" s="28" t="s">
        <v>7</v>
      </c>
      <c r="B16" s="47">
        <f>H4</f>
        <v>3.6412106895999994</v>
      </c>
      <c r="C16" s="50">
        <f>B16*4</f>
        <v>14.564842758399998</v>
      </c>
    </row>
    <row r="17" spans="1:5" ht="21" x14ac:dyDescent="0.5">
      <c r="A17" s="28"/>
      <c r="B17" s="47"/>
      <c r="C17" s="50"/>
    </row>
    <row r="18" spans="1:5" ht="21" x14ac:dyDescent="0.5">
      <c r="A18" s="28" t="s">
        <v>69</v>
      </c>
      <c r="B18" s="47"/>
      <c r="C18" s="50">
        <f>SUM(C4:C16)</f>
        <v>68.618871868799999</v>
      </c>
    </row>
    <row r="19" spans="1:5" ht="21" x14ac:dyDescent="0.5">
      <c r="A19" s="28" t="s">
        <v>72</v>
      </c>
      <c r="B19" s="47"/>
      <c r="C19" s="50">
        <f>C18*285</f>
        <v>19556.378482608001</v>
      </c>
      <c r="D19" t="s">
        <v>73</v>
      </c>
    </row>
    <row r="20" spans="1:5" ht="21" x14ac:dyDescent="0.5">
      <c r="A20" s="28"/>
      <c r="B20" s="47"/>
      <c r="C20" s="61">
        <f>C19/1000</f>
        <v>19.556378482608</v>
      </c>
      <c r="D20" t="s">
        <v>65</v>
      </c>
    </row>
    <row r="21" spans="1:5" ht="21" x14ac:dyDescent="0.5">
      <c r="A21" s="28" t="s">
        <v>100</v>
      </c>
      <c r="B21" s="75">
        <v>2.1</v>
      </c>
      <c r="C21" s="61">
        <f>C20*2.20462</f>
        <v>43.114383130327248</v>
      </c>
      <c r="D21" t="s">
        <v>101</v>
      </c>
      <c r="E21">
        <f>C21/4</f>
        <v>10.778595782581812</v>
      </c>
    </row>
    <row r="22" spans="1:5" ht="21" x14ac:dyDescent="0.5">
      <c r="A22" s="28" t="s">
        <v>70</v>
      </c>
      <c r="B22" s="47"/>
      <c r="C22" s="51">
        <f>C21*B21</f>
        <v>90.54020457368722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1"/>
  <sheetViews>
    <sheetView topLeftCell="A7" workbookViewId="0">
      <selection activeCell="G18" sqref="G18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14" bestFit="1" customWidth="1"/>
    <col min="6" max="6" width="10.1796875" customWidth="1"/>
    <col min="10" max="10" width="12.54296875" bestFit="1" customWidth="1"/>
  </cols>
  <sheetData>
    <row r="1" spans="1:13" x14ac:dyDescent="0.35">
      <c r="A1" s="33"/>
      <c r="B1" s="45"/>
      <c r="C1" s="9"/>
    </row>
    <row r="2" spans="1:13" ht="21" x14ac:dyDescent="0.5">
      <c r="A2" s="28"/>
      <c r="B2" s="46" t="s">
        <v>71</v>
      </c>
      <c r="C2" s="48"/>
    </row>
    <row r="3" spans="1:13" ht="21" x14ac:dyDescent="0.5">
      <c r="A3" s="28"/>
      <c r="B3" s="46" t="s">
        <v>46</v>
      </c>
      <c r="C3" s="49" t="s">
        <v>68</v>
      </c>
      <c r="H3" t="s">
        <v>135</v>
      </c>
      <c r="I3" t="s">
        <v>134</v>
      </c>
    </row>
    <row r="4" spans="1:13" ht="21" x14ac:dyDescent="0.5">
      <c r="A4" s="28" t="s">
        <v>1</v>
      </c>
      <c r="B4" s="47">
        <f>J5</f>
        <v>6.2527062319999995</v>
      </c>
      <c r="C4" s="50">
        <f>B4*4</f>
        <v>25.010824927999998</v>
      </c>
      <c r="F4" s="62">
        <v>2.52</v>
      </c>
      <c r="G4" s="24">
        <f>F4*16%</f>
        <v>0.4032</v>
      </c>
      <c r="H4">
        <v>9.6275289040000001</v>
      </c>
      <c r="I4" s="87">
        <v>0.05</v>
      </c>
      <c r="J4" s="25">
        <f>F4+G4+I4+H4</f>
        <v>12.600728904</v>
      </c>
      <c r="L4" s="2"/>
      <c r="M4" s="2"/>
    </row>
    <row r="5" spans="1:13" ht="21" x14ac:dyDescent="0.5">
      <c r="A5" s="28"/>
      <c r="B5" s="46"/>
      <c r="C5" s="50"/>
      <c r="F5" s="63">
        <v>1.75</v>
      </c>
      <c r="G5" s="24">
        <f t="shared" ref="G5:G10" si="0">F5*16%</f>
        <v>0.28000000000000003</v>
      </c>
      <c r="H5">
        <v>4.1727062319999995</v>
      </c>
      <c r="I5" s="88">
        <v>0.05</v>
      </c>
      <c r="J5" s="25">
        <f t="shared" ref="J5:J10" si="1">F5+G5+I5+H5</f>
        <v>6.2527062319999995</v>
      </c>
    </row>
    <row r="6" spans="1:13" ht="21" x14ac:dyDescent="0.5">
      <c r="A6" s="28" t="s">
        <v>2</v>
      </c>
      <c r="B6" s="47">
        <f>J6</f>
        <v>5.6288785839999997</v>
      </c>
      <c r="C6" s="50">
        <f>B6*4</f>
        <v>22.515514335999999</v>
      </c>
      <c r="F6" s="63">
        <v>2.2599999999999998</v>
      </c>
      <c r="G6" s="24">
        <f t="shared" si="0"/>
        <v>0.36159999999999998</v>
      </c>
      <c r="H6">
        <v>2.8672785839999997</v>
      </c>
      <c r="I6" s="88">
        <v>0.14000000000000001</v>
      </c>
      <c r="J6" s="25">
        <f t="shared" si="1"/>
        <v>5.6288785839999997</v>
      </c>
    </row>
    <row r="7" spans="1:13" ht="21" x14ac:dyDescent="0.5">
      <c r="A7" s="28"/>
      <c r="B7" s="46"/>
      <c r="C7" s="50"/>
      <c r="F7" s="63">
        <v>2.0299999999999998</v>
      </c>
      <c r="G7" s="24">
        <f t="shared" si="0"/>
        <v>0.32479999999999998</v>
      </c>
      <c r="H7">
        <v>2.937212208</v>
      </c>
      <c r="I7" s="88">
        <v>7.0000000000000007E-2</v>
      </c>
      <c r="J7" s="25">
        <f t="shared" si="1"/>
        <v>5.3620122079999994</v>
      </c>
    </row>
    <row r="8" spans="1:13" ht="21" x14ac:dyDescent="0.5">
      <c r="A8" s="28" t="s">
        <v>3</v>
      </c>
      <c r="B8" s="47">
        <f>J7</f>
        <v>5.3620122079999994</v>
      </c>
      <c r="C8" s="50">
        <f>B8*4</f>
        <v>21.448048831999998</v>
      </c>
      <c r="F8" s="63">
        <v>1.56</v>
      </c>
      <c r="G8" s="24">
        <f t="shared" si="0"/>
        <v>0.24960000000000002</v>
      </c>
      <c r="H8">
        <v>3.8696605279999998</v>
      </c>
      <c r="I8" s="88">
        <v>0.14000000000000001</v>
      </c>
      <c r="J8" s="25">
        <f t="shared" si="1"/>
        <v>5.819260528</v>
      </c>
    </row>
    <row r="9" spans="1:13" ht="21" x14ac:dyDescent="0.5">
      <c r="A9" s="28"/>
      <c r="B9" s="46"/>
      <c r="C9" s="50"/>
      <c r="F9" s="63">
        <v>2.42</v>
      </c>
      <c r="G9" s="24">
        <f t="shared" si="0"/>
        <v>0.38719999999999999</v>
      </c>
      <c r="H9">
        <v>3.8696605279999998</v>
      </c>
      <c r="I9" s="88">
        <v>0.14000000000000001</v>
      </c>
      <c r="J9" s="25">
        <f t="shared" si="1"/>
        <v>6.8168605279999994</v>
      </c>
    </row>
    <row r="10" spans="1:13" ht="21" x14ac:dyDescent="0.5">
      <c r="A10" s="28" t="s">
        <v>4</v>
      </c>
      <c r="B10" s="47">
        <f>J8</f>
        <v>5.819260528</v>
      </c>
      <c r="C10" s="50">
        <f>B10*4</f>
        <v>23.277042112</v>
      </c>
      <c r="F10" s="63">
        <v>2.21</v>
      </c>
      <c r="G10" s="24">
        <f t="shared" si="0"/>
        <v>0.35360000000000003</v>
      </c>
      <c r="H10">
        <v>11.212691047999998</v>
      </c>
      <c r="I10" s="88">
        <v>0.09</v>
      </c>
      <c r="J10" s="25">
        <f t="shared" si="1"/>
        <v>13.866291047999997</v>
      </c>
    </row>
    <row r="11" spans="1:13" ht="21" x14ac:dyDescent="0.5">
      <c r="A11" s="28"/>
      <c r="B11" s="46"/>
      <c r="C11" s="50"/>
      <c r="E11" s="4"/>
      <c r="J11" s="4"/>
    </row>
    <row r="12" spans="1:13" ht="21" x14ac:dyDescent="0.5">
      <c r="A12" s="28" t="s">
        <v>5</v>
      </c>
      <c r="B12" s="47">
        <f>J9</f>
        <v>6.8168605279999994</v>
      </c>
      <c r="C12" s="50">
        <f>B12*4</f>
        <v>27.267442111999998</v>
      </c>
      <c r="E12" s="4"/>
      <c r="J12" s="4"/>
    </row>
    <row r="13" spans="1:13" ht="21" x14ac:dyDescent="0.5">
      <c r="A13" s="28"/>
      <c r="B13" s="46"/>
      <c r="C13" s="50"/>
      <c r="J13" s="4"/>
    </row>
    <row r="14" spans="1:13" ht="21" x14ac:dyDescent="0.5">
      <c r="A14" s="28" t="s">
        <v>6</v>
      </c>
      <c r="B14" s="47">
        <f>J10</f>
        <v>13.866291047999997</v>
      </c>
      <c r="C14" s="50">
        <f>B14*4</f>
        <v>55.465164191999989</v>
      </c>
    </row>
    <row r="15" spans="1:13" ht="21" x14ac:dyDescent="0.5">
      <c r="A15" s="28"/>
      <c r="B15" s="46"/>
      <c r="C15" s="50"/>
    </row>
    <row r="16" spans="1:13" ht="21" x14ac:dyDescent="0.5">
      <c r="A16" s="28" t="s">
        <v>7</v>
      </c>
      <c r="B16" s="47">
        <f>J4</f>
        <v>12.600728904</v>
      </c>
      <c r="C16" s="50">
        <f>B16*4</f>
        <v>50.402915616000001</v>
      </c>
    </row>
    <row r="17" spans="1:6" ht="21" x14ac:dyDescent="0.5">
      <c r="A17" s="28"/>
      <c r="B17" s="47"/>
      <c r="C17" s="50"/>
    </row>
    <row r="18" spans="1:6" ht="21" x14ac:dyDescent="0.5">
      <c r="A18" s="28" t="s">
        <v>69</v>
      </c>
      <c r="B18" s="47"/>
      <c r="C18" s="50">
        <f>SUM(C4:C16)</f>
        <v>225.38695212799999</v>
      </c>
    </row>
    <row r="19" spans="1:6" ht="21" x14ac:dyDescent="0.5">
      <c r="A19" s="28" t="s">
        <v>72</v>
      </c>
      <c r="B19" s="47"/>
      <c r="C19" s="50">
        <f>C18*200</f>
        <v>45077.390425599995</v>
      </c>
      <c r="D19" t="s">
        <v>73</v>
      </c>
    </row>
    <row r="20" spans="1:6" ht="21" x14ac:dyDescent="0.5">
      <c r="A20" s="28" t="s">
        <v>98</v>
      </c>
      <c r="B20" s="75">
        <v>8.99</v>
      </c>
      <c r="C20" s="61">
        <f>C19/1000</f>
        <v>45.077390425599994</v>
      </c>
      <c r="D20" t="s">
        <v>65</v>
      </c>
      <c r="E20">
        <f>C20/4</f>
        <v>11.269347606399998</v>
      </c>
      <c r="F20" s="85"/>
    </row>
    <row r="21" spans="1:6" ht="21" x14ac:dyDescent="0.5">
      <c r="A21" s="28" t="s">
        <v>70</v>
      </c>
      <c r="B21" s="47"/>
      <c r="C21" s="51">
        <f>C20*B20</f>
        <v>405.24573992614393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3"/>
  <sheetViews>
    <sheetView topLeftCell="A13" workbookViewId="0">
      <selection activeCell="G12" sqref="G12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14" bestFit="1" customWidth="1"/>
    <col min="8" max="8" width="12.54296875" bestFit="1" customWidth="1"/>
  </cols>
  <sheetData>
    <row r="1" spans="1:11" x14ac:dyDescent="0.35">
      <c r="A1" s="33"/>
      <c r="B1" s="45"/>
      <c r="C1" s="9"/>
    </row>
    <row r="2" spans="1:11" ht="21" x14ac:dyDescent="0.5">
      <c r="A2" s="28"/>
      <c r="B2" s="46" t="s">
        <v>71</v>
      </c>
      <c r="C2" s="48"/>
    </row>
    <row r="3" spans="1:11" ht="21" x14ac:dyDescent="0.5">
      <c r="A3" s="28"/>
      <c r="B3" s="46" t="s">
        <v>46</v>
      </c>
      <c r="C3" s="49" t="s">
        <v>68</v>
      </c>
    </row>
    <row r="4" spans="1:11" ht="21" x14ac:dyDescent="0.5">
      <c r="A4" s="28" t="s">
        <v>1</v>
      </c>
      <c r="B4" s="47">
        <f>H5</f>
        <v>0</v>
      </c>
      <c r="C4" s="50">
        <f>B4*4</f>
        <v>0</v>
      </c>
      <c r="G4" s="24">
        <f>F4*15%</f>
        <v>0</v>
      </c>
      <c r="H4" s="25">
        <f>F4+G4</f>
        <v>0</v>
      </c>
      <c r="J4" s="2"/>
      <c r="K4" s="2"/>
    </row>
    <row r="5" spans="1:11" ht="21" x14ac:dyDescent="0.5">
      <c r="A5" s="28"/>
      <c r="B5" s="46"/>
      <c r="C5" s="50"/>
      <c r="G5" s="24">
        <f t="shared" ref="G5:G10" si="0">F5*15%</f>
        <v>0</v>
      </c>
      <c r="H5" s="26">
        <f t="shared" ref="H5:H10" si="1">F5+G5</f>
        <v>0</v>
      </c>
    </row>
    <row r="6" spans="1:11" ht="21" x14ac:dyDescent="0.5">
      <c r="A6" s="28" t="s">
        <v>2</v>
      </c>
      <c r="B6" s="47">
        <f>H6</f>
        <v>0</v>
      </c>
      <c r="C6" s="50">
        <f>B6*4</f>
        <v>0</v>
      </c>
      <c r="G6" s="24">
        <f t="shared" si="0"/>
        <v>0</v>
      </c>
      <c r="H6" s="26">
        <f t="shared" si="1"/>
        <v>0</v>
      </c>
    </row>
    <row r="7" spans="1:11" ht="21" x14ac:dyDescent="0.5">
      <c r="A7" s="28"/>
      <c r="B7" s="46"/>
      <c r="C7" s="50"/>
      <c r="G7" s="24">
        <f t="shared" si="0"/>
        <v>0</v>
      </c>
      <c r="H7" s="26">
        <f t="shared" si="1"/>
        <v>0</v>
      </c>
    </row>
    <row r="8" spans="1:11" ht="21" x14ac:dyDescent="0.5">
      <c r="A8" s="28" t="s">
        <v>3</v>
      </c>
      <c r="B8" s="47">
        <f>H7</f>
        <v>0</v>
      </c>
      <c r="C8" s="50">
        <f>B8*4</f>
        <v>0</v>
      </c>
      <c r="G8" s="24">
        <f t="shared" si="0"/>
        <v>0</v>
      </c>
      <c r="H8" s="26">
        <f t="shared" si="1"/>
        <v>0</v>
      </c>
    </row>
    <row r="9" spans="1:11" ht="21" x14ac:dyDescent="0.5">
      <c r="A9" s="28"/>
      <c r="B9" s="46"/>
      <c r="C9" s="50"/>
      <c r="G9" s="24">
        <f t="shared" si="0"/>
        <v>0</v>
      </c>
      <c r="H9" s="26">
        <f t="shared" si="1"/>
        <v>0</v>
      </c>
    </row>
    <row r="10" spans="1:11" ht="21" x14ac:dyDescent="0.5">
      <c r="A10" s="28" t="s">
        <v>4</v>
      </c>
      <c r="B10" s="47">
        <f>H8</f>
        <v>0</v>
      </c>
      <c r="C10" s="50">
        <f>B10*4</f>
        <v>0</v>
      </c>
      <c r="G10" s="24">
        <f t="shared" si="0"/>
        <v>0</v>
      </c>
      <c r="H10" s="27">
        <f t="shared" si="1"/>
        <v>0</v>
      </c>
    </row>
    <row r="11" spans="1:11" ht="21" x14ac:dyDescent="0.5">
      <c r="A11" s="28"/>
      <c r="B11" s="46"/>
      <c r="C11" s="50"/>
      <c r="E11" s="4"/>
      <c r="H11" s="4"/>
    </row>
    <row r="12" spans="1:11" ht="21" x14ac:dyDescent="0.5">
      <c r="A12" s="28" t="s">
        <v>5</v>
      </c>
      <c r="B12" s="47">
        <f>H9</f>
        <v>0</v>
      </c>
      <c r="C12" s="50">
        <f>B12*4</f>
        <v>0</v>
      </c>
      <c r="E12" s="4"/>
      <c r="H12" s="4"/>
    </row>
    <row r="13" spans="1:11" ht="21" x14ac:dyDescent="0.5">
      <c r="A13" s="28"/>
      <c r="B13" s="46"/>
      <c r="C13" s="50"/>
      <c r="H13" s="4"/>
    </row>
    <row r="14" spans="1:11" ht="21" x14ac:dyDescent="0.5">
      <c r="A14" s="28" t="s">
        <v>6</v>
      </c>
      <c r="B14" s="47">
        <f>H10</f>
        <v>0</v>
      </c>
      <c r="C14" s="50">
        <f>B14*4</f>
        <v>0</v>
      </c>
    </row>
    <row r="15" spans="1:11" ht="21" x14ac:dyDescent="0.5">
      <c r="A15" s="28"/>
      <c r="B15" s="46"/>
      <c r="C15" s="50"/>
    </row>
    <row r="16" spans="1:11" ht="21" x14ac:dyDescent="0.5">
      <c r="A16" s="28" t="s">
        <v>7</v>
      </c>
      <c r="B16" s="47">
        <f>H4</f>
        <v>0</v>
      </c>
      <c r="C16" s="50">
        <f>B16*4</f>
        <v>0</v>
      </c>
    </row>
    <row r="17" spans="1:5" ht="21" x14ac:dyDescent="0.5">
      <c r="A17" s="28"/>
      <c r="B17" s="47"/>
      <c r="C17" s="50"/>
    </row>
    <row r="18" spans="1:5" ht="21" x14ac:dyDescent="0.5">
      <c r="A18" s="28" t="s">
        <v>69</v>
      </c>
      <c r="B18" s="47"/>
      <c r="C18" s="50">
        <f>SUM(C4:C16)</f>
        <v>0</v>
      </c>
    </row>
    <row r="19" spans="1:5" ht="21" x14ac:dyDescent="0.5">
      <c r="A19" s="28" t="s">
        <v>72</v>
      </c>
      <c r="B19" s="47"/>
      <c r="C19" s="50">
        <f>C18*190</f>
        <v>0</v>
      </c>
      <c r="D19" t="s">
        <v>73</v>
      </c>
    </row>
    <row r="20" spans="1:5" ht="21" x14ac:dyDescent="0.5">
      <c r="A20" s="28" t="s">
        <v>98</v>
      </c>
      <c r="B20" s="75">
        <v>8.69</v>
      </c>
      <c r="C20" s="61">
        <f>C19/1000</f>
        <v>0</v>
      </c>
      <c r="D20" t="s">
        <v>65</v>
      </c>
      <c r="E20">
        <f>C20/4</f>
        <v>0</v>
      </c>
    </row>
    <row r="21" spans="1:5" ht="21" x14ac:dyDescent="0.5">
      <c r="A21" s="28" t="s">
        <v>70</v>
      </c>
      <c r="B21" s="47"/>
      <c r="C21" s="51">
        <f>C20*B20</f>
        <v>0</v>
      </c>
    </row>
    <row r="23" spans="1:5" x14ac:dyDescent="0.35">
      <c r="C23" s="85">
        <f>C21/4</f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tabSelected="1" topLeftCell="A7" workbookViewId="0">
      <selection activeCell="F21" sqref="F21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14" bestFit="1" customWidth="1"/>
    <col min="8" max="8" width="12.54296875" bestFit="1" customWidth="1"/>
  </cols>
  <sheetData>
    <row r="1" spans="1:11" x14ac:dyDescent="0.35">
      <c r="A1" s="33"/>
      <c r="B1" s="45"/>
      <c r="C1" s="9"/>
    </row>
    <row r="2" spans="1:11" ht="21" x14ac:dyDescent="0.5">
      <c r="A2" s="28"/>
      <c r="B2" s="46" t="s">
        <v>71</v>
      </c>
      <c r="C2" s="48"/>
    </row>
    <row r="3" spans="1:11" ht="21" x14ac:dyDescent="0.5">
      <c r="A3" s="28"/>
      <c r="B3" s="46" t="s">
        <v>46</v>
      </c>
      <c r="C3" s="49" t="s">
        <v>68</v>
      </c>
      <c r="F3" t="s">
        <v>103</v>
      </c>
      <c r="G3" t="s">
        <v>50</v>
      </c>
    </row>
    <row r="4" spans="1:11" ht="21" x14ac:dyDescent="0.5">
      <c r="A4" s="28" t="s">
        <v>1</v>
      </c>
      <c r="B4" s="47">
        <f>J5</f>
        <v>5.3599768551999993</v>
      </c>
      <c r="C4" s="50">
        <f>B4*4</f>
        <v>21.439907420799997</v>
      </c>
      <c r="F4">
        <v>9.6275289040000001</v>
      </c>
      <c r="G4" s="23">
        <v>1.38</v>
      </c>
      <c r="H4" s="9">
        <f>SUM(F4:G4)</f>
        <v>11.007528904000001</v>
      </c>
      <c r="I4" s="24">
        <f>H4*10%</f>
        <v>1.1007528904000001</v>
      </c>
      <c r="J4" s="25">
        <f>H4+I4</f>
        <v>12.108281794400002</v>
      </c>
      <c r="K4" s="2"/>
    </row>
    <row r="5" spans="1:11" ht="21" x14ac:dyDescent="0.5">
      <c r="A5" s="28"/>
      <c r="B5" s="46"/>
      <c r="C5" s="50"/>
      <c r="F5">
        <v>4.1727062319999995</v>
      </c>
      <c r="G5" s="9">
        <v>0.7</v>
      </c>
      <c r="H5" s="9">
        <f t="shared" ref="H5:H10" si="0">SUM(F5:G5)</f>
        <v>4.8727062319999996</v>
      </c>
      <c r="I5" s="24">
        <f t="shared" ref="I5:I10" si="1">H5*10%</f>
        <v>0.48727062319999997</v>
      </c>
      <c r="J5" s="25">
        <f t="shared" ref="J5:J10" si="2">H5+I5</f>
        <v>5.3599768551999993</v>
      </c>
    </row>
    <row r="6" spans="1:11" ht="21" x14ac:dyDescent="0.5">
      <c r="A6" s="28" t="s">
        <v>2</v>
      </c>
      <c r="B6" s="47">
        <f>J6</f>
        <v>3.6930064423999993</v>
      </c>
      <c r="C6" s="50">
        <f>B6*4</f>
        <v>14.772025769599997</v>
      </c>
      <c r="F6">
        <v>2.8672785839999997</v>
      </c>
      <c r="G6" s="9">
        <v>0.49</v>
      </c>
      <c r="H6" s="9">
        <f t="shared" si="0"/>
        <v>3.3572785839999995</v>
      </c>
      <c r="I6" s="24">
        <f t="shared" si="1"/>
        <v>0.33572785839999997</v>
      </c>
      <c r="J6" s="25">
        <f t="shared" si="2"/>
        <v>3.6930064423999993</v>
      </c>
    </row>
    <row r="7" spans="1:11" ht="21" x14ac:dyDescent="0.5">
      <c r="A7" s="28"/>
      <c r="B7" s="46"/>
      <c r="C7" s="50"/>
      <c r="F7">
        <v>2.937212208</v>
      </c>
      <c r="G7" s="9">
        <v>0.7</v>
      </c>
      <c r="H7" s="9">
        <f t="shared" si="0"/>
        <v>3.6372122080000002</v>
      </c>
      <c r="I7" s="24">
        <f t="shared" si="1"/>
        <v>0.36372122080000002</v>
      </c>
      <c r="J7" s="25">
        <f t="shared" si="2"/>
        <v>4.0009334287999998</v>
      </c>
    </row>
    <row r="8" spans="1:11" ht="21" x14ac:dyDescent="0.5">
      <c r="A8" s="28" t="s">
        <v>3</v>
      </c>
      <c r="B8" s="47">
        <f>J7</f>
        <v>4.0009334287999998</v>
      </c>
      <c r="C8" s="50">
        <f>B8*4</f>
        <v>16.003733715199999</v>
      </c>
      <c r="F8">
        <v>3.8696605279999998</v>
      </c>
      <c r="G8" s="9">
        <v>0.77</v>
      </c>
      <c r="H8" s="9">
        <f>SUM(F8:G8)</f>
        <v>4.6396605280000003</v>
      </c>
      <c r="I8" s="24">
        <f t="shared" si="1"/>
        <v>0.46396605280000003</v>
      </c>
      <c r="J8" s="25">
        <f t="shared" si="2"/>
        <v>5.1036265808000003</v>
      </c>
    </row>
    <row r="9" spans="1:11" ht="21" x14ac:dyDescent="0.5">
      <c r="A9" s="28"/>
      <c r="B9" s="46"/>
      <c r="C9" s="50"/>
      <c r="F9">
        <v>3.8696605279999998</v>
      </c>
      <c r="G9">
        <v>1.03</v>
      </c>
      <c r="H9" s="9">
        <f t="shared" si="0"/>
        <v>4.8996605280000001</v>
      </c>
      <c r="I9" s="24">
        <f t="shared" si="1"/>
        <v>0.48996605280000005</v>
      </c>
      <c r="J9" s="25">
        <f t="shared" si="2"/>
        <v>5.3896265807999999</v>
      </c>
    </row>
    <row r="10" spans="1:11" ht="21" x14ac:dyDescent="0.5">
      <c r="A10" s="28" t="s">
        <v>4</v>
      </c>
      <c r="B10" s="47">
        <f>J8</f>
        <v>5.1036265808000003</v>
      </c>
      <c r="C10" s="50">
        <f>B10*4</f>
        <v>20.414506323200001</v>
      </c>
      <c r="F10">
        <v>11.212691047999998</v>
      </c>
      <c r="G10" s="9">
        <v>1.31</v>
      </c>
      <c r="H10" s="9">
        <f t="shared" si="0"/>
        <v>12.522691047999999</v>
      </c>
      <c r="I10" s="24">
        <f t="shared" si="1"/>
        <v>1.2522691047999999</v>
      </c>
      <c r="J10" s="25">
        <f t="shared" si="2"/>
        <v>13.774960152799999</v>
      </c>
    </row>
    <row r="11" spans="1:11" ht="21" x14ac:dyDescent="0.5">
      <c r="A11" s="28"/>
      <c r="B11" s="46"/>
      <c r="C11" s="50"/>
      <c r="E11" s="4"/>
      <c r="H11" s="4"/>
    </row>
    <row r="12" spans="1:11" ht="21" x14ac:dyDescent="0.5">
      <c r="A12" s="28" t="s">
        <v>5</v>
      </c>
      <c r="B12" s="47">
        <f>J9</f>
        <v>5.3896265807999999</v>
      </c>
      <c r="C12" s="50">
        <f>B12*4</f>
        <v>21.5585063232</v>
      </c>
      <c r="E12" s="4"/>
      <c r="H12" s="4"/>
    </row>
    <row r="13" spans="1:11" ht="21" x14ac:dyDescent="0.5">
      <c r="A13" s="28"/>
      <c r="B13" s="46"/>
      <c r="C13" s="50"/>
      <c r="H13" s="4"/>
    </row>
    <row r="14" spans="1:11" ht="21" x14ac:dyDescent="0.5">
      <c r="A14" s="28" t="s">
        <v>6</v>
      </c>
      <c r="B14" s="47">
        <f>J10</f>
        <v>13.774960152799999</v>
      </c>
      <c r="C14" s="50">
        <f>B14*4</f>
        <v>55.099840611199994</v>
      </c>
    </row>
    <row r="15" spans="1:11" ht="21" x14ac:dyDescent="0.5">
      <c r="A15" s="28"/>
      <c r="B15" s="46"/>
      <c r="C15" s="50"/>
    </row>
    <row r="16" spans="1:11" ht="21" x14ac:dyDescent="0.5">
      <c r="A16" s="28" t="s">
        <v>7</v>
      </c>
      <c r="B16" s="47">
        <f>J4</f>
        <v>12.108281794400002</v>
      </c>
      <c r="C16" s="50">
        <f>B16*4</f>
        <v>48.433127177600007</v>
      </c>
      <c r="E16" s="4"/>
    </row>
    <row r="17" spans="1:7" ht="21" x14ac:dyDescent="0.5">
      <c r="A17" s="28"/>
      <c r="B17" s="47"/>
      <c r="C17" s="50"/>
    </row>
    <row r="18" spans="1:7" ht="21" x14ac:dyDescent="0.5">
      <c r="A18" s="28" t="s">
        <v>69</v>
      </c>
      <c r="B18" s="50">
        <f>SUM(B4:B16)</f>
        <v>49.430411835199997</v>
      </c>
      <c r="C18" s="50">
        <f>SUM(C4:C16)</f>
        <v>197.72164734079999</v>
      </c>
    </row>
    <row r="19" spans="1:7" ht="21" x14ac:dyDescent="0.5">
      <c r="A19" s="28" t="s">
        <v>115</v>
      </c>
      <c r="B19" s="50">
        <f>B18/28</f>
        <v>1.7653718512571428</v>
      </c>
      <c r="C19" s="50">
        <f>C18/28</f>
        <v>7.0614874050285712</v>
      </c>
    </row>
    <row r="20" spans="1:7" ht="21" x14ac:dyDescent="0.5">
      <c r="A20" s="28" t="s">
        <v>105</v>
      </c>
      <c r="B20" s="75">
        <f>F22</f>
        <v>0.6785714285714286</v>
      </c>
      <c r="C20" s="50"/>
      <c r="F20">
        <v>19</v>
      </c>
      <c r="G20" t="s">
        <v>102</v>
      </c>
    </row>
    <row r="21" spans="1:7" ht="21" x14ac:dyDescent="0.5">
      <c r="A21" s="28" t="s">
        <v>70</v>
      </c>
      <c r="B21" s="47"/>
      <c r="C21" s="51">
        <f>C18*B20</f>
        <v>134.16826069554287</v>
      </c>
      <c r="F21">
        <v>28</v>
      </c>
      <c r="G21" t="s">
        <v>104</v>
      </c>
    </row>
    <row r="22" spans="1:7" x14ac:dyDescent="0.35">
      <c r="F22">
        <f>F20/F21</f>
        <v>0.6785714285714286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3"/>
  <sheetViews>
    <sheetView topLeftCell="A10" workbookViewId="0">
      <selection activeCell="E20" sqref="E20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21.7265625" bestFit="1" customWidth="1"/>
    <col min="8" max="8" width="12.54296875" bestFit="1" customWidth="1"/>
  </cols>
  <sheetData>
    <row r="1" spans="1:11" x14ac:dyDescent="0.35">
      <c r="A1" s="33"/>
      <c r="B1" s="45"/>
      <c r="C1" s="9"/>
    </row>
    <row r="2" spans="1:11" ht="21" x14ac:dyDescent="0.5">
      <c r="A2" s="28"/>
      <c r="B2" s="46" t="s">
        <v>122</v>
      </c>
      <c r="C2" s="48"/>
    </row>
    <row r="3" spans="1:11" ht="21" x14ac:dyDescent="0.5">
      <c r="A3" s="28"/>
      <c r="B3" s="46" t="s">
        <v>46</v>
      </c>
      <c r="C3" s="49" t="s">
        <v>68</v>
      </c>
    </row>
    <row r="4" spans="1:11" ht="21" x14ac:dyDescent="0.5">
      <c r="A4" s="28" t="s">
        <v>1</v>
      </c>
      <c r="B4" s="47">
        <f>H5</f>
        <v>16.295500000000001</v>
      </c>
      <c r="C4" s="50">
        <f>B4*4</f>
        <v>65.182000000000002</v>
      </c>
      <c r="F4">
        <v>19.23</v>
      </c>
      <c r="G4" s="24">
        <f>F4*15%</f>
        <v>2.8845000000000001</v>
      </c>
      <c r="H4" s="25">
        <f>F4+G4</f>
        <v>22.1145</v>
      </c>
      <c r="J4" s="2"/>
      <c r="K4" s="2"/>
    </row>
    <row r="5" spans="1:11" ht="21" x14ac:dyDescent="0.5">
      <c r="A5" s="28"/>
      <c r="B5" s="46"/>
      <c r="C5" s="50"/>
      <c r="F5">
        <v>14.17</v>
      </c>
      <c r="G5" s="24">
        <f t="shared" ref="G5:G10" si="0">F5*15%</f>
        <v>2.1254999999999997</v>
      </c>
      <c r="H5" s="26">
        <f t="shared" ref="H5:H10" si="1">F5+G5</f>
        <v>16.295500000000001</v>
      </c>
    </row>
    <row r="6" spans="1:11" ht="21" x14ac:dyDescent="0.5">
      <c r="A6" s="28" t="s">
        <v>2</v>
      </c>
      <c r="B6" s="47">
        <f>H6</f>
        <v>14.444000000000001</v>
      </c>
      <c r="C6" s="50">
        <f>B6*4</f>
        <v>57.776000000000003</v>
      </c>
      <c r="F6">
        <v>12.56</v>
      </c>
      <c r="G6" s="24">
        <f t="shared" si="0"/>
        <v>1.8839999999999999</v>
      </c>
      <c r="H6" s="26">
        <f t="shared" si="1"/>
        <v>14.444000000000001</v>
      </c>
    </row>
    <row r="7" spans="1:11" ht="21" x14ac:dyDescent="0.5">
      <c r="A7" s="28"/>
      <c r="B7" s="46"/>
      <c r="C7" s="50"/>
      <c r="F7">
        <v>14.87</v>
      </c>
      <c r="G7" s="24">
        <f t="shared" si="0"/>
        <v>2.2304999999999997</v>
      </c>
      <c r="H7" s="26">
        <f t="shared" si="1"/>
        <v>17.1005</v>
      </c>
    </row>
    <row r="8" spans="1:11" ht="21" x14ac:dyDescent="0.5">
      <c r="A8" s="28" t="s">
        <v>3</v>
      </c>
      <c r="B8" s="47">
        <f>H7</f>
        <v>17.1005</v>
      </c>
      <c r="C8" s="50">
        <f>B8*4</f>
        <v>68.402000000000001</v>
      </c>
      <c r="F8">
        <v>15.15</v>
      </c>
      <c r="G8" s="24">
        <f t="shared" si="0"/>
        <v>2.2725</v>
      </c>
      <c r="H8" s="26">
        <f t="shared" si="1"/>
        <v>17.422499999999999</v>
      </c>
    </row>
    <row r="9" spans="1:11" ht="21" x14ac:dyDescent="0.5">
      <c r="A9" s="28"/>
      <c r="B9" s="46"/>
      <c r="C9" s="50"/>
      <c r="F9">
        <v>17.41</v>
      </c>
      <c r="G9" s="24">
        <f t="shared" si="0"/>
        <v>2.6114999999999999</v>
      </c>
      <c r="H9" s="26">
        <f t="shared" si="1"/>
        <v>20.0215</v>
      </c>
    </row>
    <row r="10" spans="1:11" ht="21" x14ac:dyDescent="0.5">
      <c r="A10" s="28" t="s">
        <v>4</v>
      </c>
      <c r="B10" s="47">
        <f>H8</f>
        <v>17.422499999999999</v>
      </c>
      <c r="C10" s="50">
        <f>B10*4</f>
        <v>69.69</v>
      </c>
      <c r="F10">
        <v>30.84</v>
      </c>
      <c r="G10" s="24">
        <f t="shared" si="0"/>
        <v>4.6259999999999994</v>
      </c>
      <c r="H10" s="27">
        <f t="shared" si="1"/>
        <v>35.466000000000001</v>
      </c>
    </row>
    <row r="11" spans="1:11" ht="21" x14ac:dyDescent="0.5">
      <c r="A11" s="28"/>
      <c r="B11" s="46"/>
      <c r="C11" s="50"/>
      <c r="E11" s="4"/>
      <c r="H11" s="4"/>
    </row>
    <row r="12" spans="1:11" ht="21" x14ac:dyDescent="0.5">
      <c r="A12" s="28" t="s">
        <v>5</v>
      </c>
      <c r="B12" s="47">
        <f>H9</f>
        <v>20.0215</v>
      </c>
      <c r="C12" s="50">
        <f>B12*4</f>
        <v>80.085999999999999</v>
      </c>
      <c r="E12" s="4"/>
      <c r="H12" s="4"/>
    </row>
    <row r="13" spans="1:11" ht="21" x14ac:dyDescent="0.5">
      <c r="A13" s="28"/>
      <c r="B13" s="46"/>
      <c r="C13" s="50"/>
      <c r="H13" s="4"/>
    </row>
    <row r="14" spans="1:11" ht="21" x14ac:dyDescent="0.5">
      <c r="A14" s="28" t="s">
        <v>6</v>
      </c>
      <c r="B14" s="47">
        <f>H10</f>
        <v>35.466000000000001</v>
      </c>
      <c r="C14" s="50">
        <f>B14*4</f>
        <v>141.864</v>
      </c>
    </row>
    <row r="15" spans="1:11" ht="21" x14ac:dyDescent="0.5">
      <c r="A15" s="28"/>
      <c r="B15" s="46"/>
      <c r="C15" s="50"/>
    </row>
    <row r="16" spans="1:11" ht="21" x14ac:dyDescent="0.5">
      <c r="A16" s="28" t="s">
        <v>7</v>
      </c>
      <c r="B16" s="47">
        <f>H4</f>
        <v>22.1145</v>
      </c>
      <c r="C16" s="50">
        <f>B16*4</f>
        <v>88.457999999999998</v>
      </c>
    </row>
    <row r="17" spans="1:7" ht="21" x14ac:dyDescent="0.5">
      <c r="A17" s="28"/>
      <c r="B17" s="47"/>
      <c r="C17" s="50"/>
    </row>
    <row r="18" spans="1:7" ht="21" x14ac:dyDescent="0.5">
      <c r="A18" s="28" t="s">
        <v>69</v>
      </c>
      <c r="B18" s="47"/>
      <c r="C18" s="50">
        <f>SUM(C4:C16)</f>
        <v>571.45799999999997</v>
      </c>
    </row>
    <row r="19" spans="1:7" ht="21" x14ac:dyDescent="0.5">
      <c r="A19" s="28" t="s">
        <v>72</v>
      </c>
      <c r="B19" s="47"/>
      <c r="C19" s="50">
        <f>C18*205</f>
        <v>117148.89</v>
      </c>
      <c r="D19" t="s">
        <v>73</v>
      </c>
    </row>
    <row r="20" spans="1:7" ht="21" x14ac:dyDescent="0.5">
      <c r="A20" s="28" t="s">
        <v>98</v>
      </c>
      <c r="B20" s="75">
        <v>2.5299999999999998</v>
      </c>
      <c r="C20" s="61">
        <f>C19/1000</f>
        <v>117.14888999999999</v>
      </c>
      <c r="D20" t="s">
        <v>94</v>
      </c>
      <c r="E20">
        <f>C20/4</f>
        <v>29.287222499999999</v>
      </c>
      <c r="G20" t="s">
        <v>124</v>
      </c>
    </row>
    <row r="21" spans="1:7" ht="21" x14ac:dyDescent="0.5">
      <c r="A21" s="28" t="s">
        <v>70</v>
      </c>
      <c r="B21" s="47"/>
      <c r="C21" s="51">
        <f>C20*B20</f>
        <v>296.38669169999997</v>
      </c>
    </row>
    <row r="23" spans="1:7" x14ac:dyDescent="0.35">
      <c r="C23" s="85">
        <f>C21/4</f>
        <v>74.096672924999993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5"/>
  <sheetViews>
    <sheetView topLeftCell="A13" workbookViewId="0">
      <selection activeCell="F21" sqref="F21"/>
    </sheetView>
  </sheetViews>
  <sheetFormatPr baseColWidth="10" defaultRowHeight="14.5" x14ac:dyDescent="0.35"/>
  <cols>
    <col min="1" max="1" width="22.81640625" bestFit="1" customWidth="1"/>
    <col min="2" max="2" width="25.453125" customWidth="1"/>
    <col min="3" max="3" width="18.1796875" customWidth="1"/>
    <col min="8" max="8" width="12.54296875" bestFit="1" customWidth="1"/>
  </cols>
  <sheetData>
    <row r="1" spans="1:11" x14ac:dyDescent="0.35">
      <c r="A1" s="33"/>
      <c r="B1" s="45"/>
      <c r="C1" s="9"/>
    </row>
    <row r="2" spans="1:11" ht="21" x14ac:dyDescent="0.5">
      <c r="A2" s="28"/>
      <c r="B2" s="46" t="s">
        <v>123</v>
      </c>
      <c r="C2" s="48"/>
    </row>
    <row r="3" spans="1:11" ht="21" x14ac:dyDescent="0.5">
      <c r="A3" s="28"/>
      <c r="B3" s="46" t="s">
        <v>46</v>
      </c>
      <c r="C3" s="49" t="s">
        <v>68</v>
      </c>
    </row>
    <row r="4" spans="1:11" ht="21" x14ac:dyDescent="0.5">
      <c r="A4" s="28" t="s">
        <v>1</v>
      </c>
      <c r="B4" s="47">
        <f>J5</f>
        <v>70.266999999999996</v>
      </c>
      <c r="C4" s="50">
        <f>B4*4</f>
        <v>281.06799999999998</v>
      </c>
      <c r="F4" s="9"/>
      <c r="G4" s="23"/>
      <c r="H4" s="9">
        <v>84.36</v>
      </c>
      <c r="I4" s="24">
        <f>H4*45%</f>
        <v>37.962000000000003</v>
      </c>
      <c r="J4" s="25">
        <f>H4+I4</f>
        <v>122.322</v>
      </c>
      <c r="K4" s="2"/>
    </row>
    <row r="5" spans="1:11" ht="21" x14ac:dyDescent="0.5">
      <c r="A5" s="28"/>
      <c r="B5" s="46"/>
      <c r="C5" s="50"/>
      <c r="F5" s="9"/>
      <c r="G5" s="9"/>
      <c r="H5" s="9">
        <v>48.46</v>
      </c>
      <c r="I5" s="24">
        <f t="shared" ref="I5:I10" si="0">H5*45%</f>
        <v>21.807000000000002</v>
      </c>
      <c r="J5" s="25">
        <f t="shared" ref="J5:J10" si="1">H5+I5</f>
        <v>70.266999999999996</v>
      </c>
    </row>
    <row r="6" spans="1:11" ht="21" x14ac:dyDescent="0.5">
      <c r="A6" s="28" t="s">
        <v>2</v>
      </c>
      <c r="B6" s="47">
        <f>J6</f>
        <v>63.3795</v>
      </c>
      <c r="C6" s="50">
        <f>B6*4</f>
        <v>253.518</v>
      </c>
      <c r="F6" s="9"/>
      <c r="G6" s="9"/>
      <c r="H6" s="9">
        <v>43.71</v>
      </c>
      <c r="I6" s="24">
        <f t="shared" si="0"/>
        <v>19.669499999999999</v>
      </c>
      <c r="J6" s="25">
        <f t="shared" si="1"/>
        <v>63.3795</v>
      </c>
    </row>
    <row r="7" spans="1:11" ht="21" x14ac:dyDescent="0.5">
      <c r="A7" s="28"/>
      <c r="B7" s="46"/>
      <c r="C7" s="50"/>
      <c r="F7" s="9"/>
      <c r="G7" s="9"/>
      <c r="H7" s="9">
        <v>42.49</v>
      </c>
      <c r="I7" s="24">
        <f t="shared" si="0"/>
        <v>19.1205</v>
      </c>
      <c r="J7" s="25">
        <f t="shared" si="1"/>
        <v>61.610500000000002</v>
      </c>
    </row>
    <row r="8" spans="1:11" ht="21" x14ac:dyDescent="0.5">
      <c r="A8" s="28" t="s">
        <v>3</v>
      </c>
      <c r="B8" s="47">
        <f>J7</f>
        <v>61.610500000000002</v>
      </c>
      <c r="C8" s="50">
        <f>B8*4</f>
        <v>246.44200000000001</v>
      </c>
      <c r="F8" s="9"/>
      <c r="G8" s="9"/>
      <c r="H8" s="9">
        <v>54.06</v>
      </c>
      <c r="I8" s="24">
        <f t="shared" si="0"/>
        <v>24.327000000000002</v>
      </c>
      <c r="J8" s="25">
        <f t="shared" si="1"/>
        <v>78.387</v>
      </c>
    </row>
    <row r="9" spans="1:11" ht="21" x14ac:dyDescent="0.5">
      <c r="A9" s="28"/>
      <c r="B9" s="46"/>
      <c r="C9" s="50"/>
      <c r="F9" s="9"/>
      <c r="G9" s="9"/>
      <c r="H9" s="9">
        <v>57.83</v>
      </c>
      <c r="I9" s="24">
        <f t="shared" si="0"/>
        <v>26.023499999999999</v>
      </c>
      <c r="J9" s="25">
        <f t="shared" si="1"/>
        <v>83.853499999999997</v>
      </c>
    </row>
    <row r="10" spans="1:11" ht="21" x14ac:dyDescent="0.5">
      <c r="A10" s="28" t="s">
        <v>4</v>
      </c>
      <c r="B10" s="47">
        <f>J8</f>
        <v>78.387</v>
      </c>
      <c r="C10" s="50">
        <f>B10*4</f>
        <v>313.548</v>
      </c>
      <c r="F10" s="9"/>
      <c r="G10" s="9"/>
      <c r="H10" s="9">
        <v>105.9</v>
      </c>
      <c r="I10" s="24">
        <f t="shared" si="0"/>
        <v>47.655000000000001</v>
      </c>
      <c r="J10" s="25">
        <f t="shared" si="1"/>
        <v>153.55500000000001</v>
      </c>
    </row>
    <row r="11" spans="1:11" ht="21" x14ac:dyDescent="0.5">
      <c r="A11" s="28"/>
      <c r="B11" s="46"/>
      <c r="C11" s="50"/>
      <c r="E11" s="4"/>
      <c r="H11" s="4"/>
    </row>
    <row r="12" spans="1:11" ht="21" x14ac:dyDescent="0.5">
      <c r="A12" s="28" t="s">
        <v>5</v>
      </c>
      <c r="B12" s="47">
        <f>J9</f>
        <v>83.853499999999997</v>
      </c>
      <c r="C12" s="50">
        <f>B12*4</f>
        <v>335.41399999999999</v>
      </c>
      <c r="E12" s="4"/>
      <c r="H12" s="4"/>
    </row>
    <row r="13" spans="1:11" ht="21" x14ac:dyDescent="0.5">
      <c r="A13" s="28"/>
      <c r="B13" s="46"/>
      <c r="C13" s="50"/>
      <c r="H13" s="4"/>
    </row>
    <row r="14" spans="1:11" ht="21" x14ac:dyDescent="0.5">
      <c r="A14" s="28" t="s">
        <v>6</v>
      </c>
      <c r="B14" s="47">
        <f>J10</f>
        <v>153.55500000000001</v>
      </c>
      <c r="C14" s="50">
        <f>B14*4</f>
        <v>614.22</v>
      </c>
    </row>
    <row r="15" spans="1:11" ht="21" x14ac:dyDescent="0.5">
      <c r="A15" s="28"/>
      <c r="B15" s="46"/>
      <c r="C15" s="50"/>
    </row>
    <row r="16" spans="1:11" ht="21" x14ac:dyDescent="0.5">
      <c r="A16" s="28" t="s">
        <v>7</v>
      </c>
      <c r="B16" s="47">
        <f>J4</f>
        <v>122.322</v>
      </c>
      <c r="C16" s="50">
        <f>B16*4</f>
        <v>489.28800000000001</v>
      </c>
    </row>
    <row r="17" spans="1:9" ht="21" x14ac:dyDescent="0.5">
      <c r="A17" s="28"/>
      <c r="B17" s="47"/>
      <c r="C17" s="50"/>
    </row>
    <row r="18" spans="1:9" ht="21" x14ac:dyDescent="0.5">
      <c r="A18" s="28" t="s">
        <v>69</v>
      </c>
      <c r="B18" s="47"/>
      <c r="C18" s="50">
        <f>SUM(C4:C16)</f>
        <v>2533.498</v>
      </c>
    </row>
    <row r="19" spans="1:9" ht="21" x14ac:dyDescent="0.5">
      <c r="A19" s="28" t="s">
        <v>109</v>
      </c>
      <c r="B19" s="47"/>
      <c r="C19" s="50">
        <f>C18*350</f>
        <v>886724.3</v>
      </c>
    </row>
    <row r="20" spans="1:9" ht="21" x14ac:dyDescent="0.5">
      <c r="A20" s="28" t="s">
        <v>110</v>
      </c>
      <c r="B20" s="47"/>
      <c r="C20" s="50">
        <f>C19/1000</f>
        <v>886.72430000000008</v>
      </c>
      <c r="D20" t="s">
        <v>94</v>
      </c>
    </row>
    <row r="21" spans="1:9" ht="21" x14ac:dyDescent="0.5">
      <c r="A21" s="28"/>
      <c r="B21" s="47"/>
      <c r="C21" s="50">
        <f>C20*2.2</f>
        <v>1950.7934600000003</v>
      </c>
      <c r="D21" t="s">
        <v>101</v>
      </c>
    </row>
    <row r="22" spans="1:9" ht="21" x14ac:dyDescent="0.5">
      <c r="A22" s="28" t="s">
        <v>111</v>
      </c>
      <c r="B22" s="47"/>
      <c r="C22" s="50">
        <f>C21/H23</f>
        <v>88.67243000000002</v>
      </c>
      <c r="D22">
        <f>C22/4</f>
        <v>22.168107500000005</v>
      </c>
      <c r="E22" t="s">
        <v>136</v>
      </c>
      <c r="F22" t="s">
        <v>120</v>
      </c>
    </row>
    <row r="23" spans="1:9" ht="21" x14ac:dyDescent="0.5">
      <c r="A23" s="28" t="s">
        <v>108</v>
      </c>
      <c r="B23" s="75">
        <v>13.6</v>
      </c>
      <c r="C23" s="50"/>
      <c r="D23" s="85"/>
      <c r="F23" s="65">
        <v>13.25</v>
      </c>
      <c r="G23" t="s">
        <v>106</v>
      </c>
      <c r="H23">
        <f>F24*F25</f>
        <v>22</v>
      </c>
      <c r="I23" t="s">
        <v>101</v>
      </c>
    </row>
    <row r="24" spans="1:9" ht="21" x14ac:dyDescent="0.5">
      <c r="A24" s="28" t="s">
        <v>70</v>
      </c>
      <c r="B24" s="47"/>
      <c r="C24" s="51">
        <f>C22*B23</f>
        <v>1205.9450480000003</v>
      </c>
      <c r="D24" s="85">
        <f>C24/4</f>
        <v>301.48626200000007</v>
      </c>
      <c r="F24">
        <v>4</v>
      </c>
      <c r="G24" t="s">
        <v>15</v>
      </c>
    </row>
    <row r="25" spans="1:9" x14ac:dyDescent="0.35">
      <c r="F25">
        <v>5.5</v>
      </c>
      <c r="G25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SODAS</vt:lpstr>
      <vt:lpstr>ARROZ</vt:lpstr>
      <vt:lpstr>CHIMICHURRI</vt:lpstr>
      <vt:lpstr>CHIMICHURRI calculo</vt:lpstr>
      <vt:lpstr>PATACONES</vt:lpstr>
      <vt:lpstr>POLLO</vt:lpstr>
      <vt:lpstr>POLLO calculo</vt:lpstr>
      <vt:lpstr>CHULETAS</vt:lpstr>
      <vt:lpstr>CHURRASCO</vt:lpstr>
      <vt:lpstr>COSTILLAS ASADAS</vt:lpstr>
      <vt:lpstr>FILETE DE PECHUGA</vt:lpstr>
      <vt:lpstr>FILETE DE RES </vt:lpstr>
      <vt:lpstr>RINCON</vt:lpstr>
      <vt:lpstr>chorizo parrilla </vt:lpstr>
      <vt:lpstr>yuca</vt:lpstr>
      <vt:lpstr>papitas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Italo´s</dc:creator>
  <cp:lastModifiedBy>Edwin Pilisi</cp:lastModifiedBy>
  <cp:lastPrinted>2024-04-29T21:55:25Z</cp:lastPrinted>
  <dcterms:created xsi:type="dcterms:W3CDTF">2022-07-30T16:59:36Z</dcterms:created>
  <dcterms:modified xsi:type="dcterms:W3CDTF">2025-11-01T16:14:25Z</dcterms:modified>
</cp:coreProperties>
</file>