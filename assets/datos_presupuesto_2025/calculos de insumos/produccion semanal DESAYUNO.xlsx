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ALOS ADMINISTRACION\PRESUPUESTO NOVIEMBRE 2025 001\calculos de insumos\"/>
    </mc:Choice>
  </mc:AlternateContent>
  <xr:revisionPtr revIDLastSave="0" documentId="13_ncr:1_{0D93BD73-D29B-4CDC-B2B1-60D446E07C99}" xr6:coauthVersionLast="47" xr6:coauthVersionMax="47" xr10:uidLastSave="{00000000-0000-0000-0000-000000000000}"/>
  <bookViews>
    <workbookView xWindow="-110" yWindow="-110" windowWidth="19420" windowHeight="12660" firstSheet="2" activeTab="6" xr2:uid="{00000000-000D-0000-FFFF-FFFF00000000}"/>
  </bookViews>
  <sheets>
    <sheet name="ALMOJABANO" sheetId="2" r:id="rId1"/>
    <sheet name="HIGADO" sheetId="15" r:id="rId2"/>
    <sheet name="COSTILLA FRITA" sheetId="23" r:id="rId3"/>
    <sheet name="BOFE" sheetId="16" r:id="rId4"/>
    <sheet name="SALCHICHA GUI" sheetId="17" r:id="rId5"/>
    <sheet name="BOLLO" sheetId="18" r:id="rId6"/>
    <sheet name="CARIMAÑOLA" sheetId="19" r:id="rId7"/>
    <sheet name="TORTILLA" sheetId="20" r:id="rId8"/>
    <sheet name="EMP DE MAIZ" sheetId="21" r:id="rId9"/>
    <sheet name="CHORIZO TABLEÑO" sheetId="2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4" i="2"/>
  <c r="J5" i="17" l="1"/>
  <c r="J6" i="17"/>
  <c r="J7" i="17"/>
  <c r="J8" i="17"/>
  <c r="J9" i="17"/>
  <c r="J10" i="17"/>
  <c r="J4" i="17"/>
  <c r="F20" i="15" l="1"/>
  <c r="G5" i="22" l="1"/>
  <c r="G6" i="22"/>
  <c r="G7" i="22"/>
  <c r="G8" i="22"/>
  <c r="G9" i="22"/>
  <c r="G10" i="22"/>
  <c r="G4" i="22"/>
  <c r="G5" i="21"/>
  <c r="G6" i="21"/>
  <c r="G7" i="21"/>
  <c r="G8" i="21"/>
  <c r="G9" i="21"/>
  <c r="G10" i="21"/>
  <c r="G4" i="21"/>
  <c r="G5" i="20"/>
  <c r="G6" i="20"/>
  <c r="G7" i="20"/>
  <c r="G8" i="20"/>
  <c r="G9" i="20"/>
  <c r="G10" i="20"/>
  <c r="G4" i="20"/>
  <c r="G5" i="19"/>
  <c r="G6" i="19"/>
  <c r="G7" i="19"/>
  <c r="G8" i="19"/>
  <c r="G9" i="19"/>
  <c r="G10" i="19"/>
  <c r="G4" i="19"/>
  <c r="G5" i="18"/>
  <c r="G6" i="18"/>
  <c r="G7" i="18"/>
  <c r="G8" i="18"/>
  <c r="G9" i="18"/>
  <c r="G10" i="18"/>
  <c r="G4" i="18"/>
  <c r="J5" i="16"/>
  <c r="K5" i="16" s="1"/>
  <c r="J6" i="16"/>
  <c r="K6" i="16" s="1"/>
  <c r="J7" i="16"/>
  <c r="K7" i="16" s="1"/>
  <c r="J8" i="16"/>
  <c r="K8" i="16" s="1"/>
  <c r="J9" i="16"/>
  <c r="K9" i="16" s="1"/>
  <c r="J10" i="16"/>
  <c r="K10" i="16" s="1"/>
  <c r="J4" i="16"/>
  <c r="K4" i="16" s="1"/>
  <c r="I5" i="23"/>
  <c r="J5" i="23" s="1"/>
  <c r="I6" i="23"/>
  <c r="J6" i="23" s="1"/>
  <c r="I7" i="23"/>
  <c r="J7" i="23" s="1"/>
  <c r="I8" i="23"/>
  <c r="J8" i="23" s="1"/>
  <c r="I9" i="23"/>
  <c r="J9" i="23" s="1"/>
  <c r="I10" i="23"/>
  <c r="J10" i="23" s="1"/>
  <c r="I4" i="23"/>
  <c r="J4" i="23" s="1"/>
  <c r="I5" i="15"/>
  <c r="J5" i="15" s="1"/>
  <c r="K5" i="15" s="1"/>
  <c r="I6" i="15"/>
  <c r="J6" i="15" s="1"/>
  <c r="K6" i="15" s="1"/>
  <c r="I7" i="15"/>
  <c r="J7" i="15" s="1"/>
  <c r="K7" i="15" s="1"/>
  <c r="I8" i="15"/>
  <c r="J8" i="15" s="1"/>
  <c r="K8" i="15" s="1"/>
  <c r="I9" i="15"/>
  <c r="J9" i="15" s="1"/>
  <c r="K9" i="15" s="1"/>
  <c r="I10" i="15"/>
  <c r="J10" i="15" s="1"/>
  <c r="K10" i="15" s="1"/>
  <c r="I4" i="15"/>
  <c r="J4" i="15" s="1"/>
  <c r="K4" i="15" s="1"/>
  <c r="B14" i="23" l="1"/>
  <c r="C14" i="23" s="1"/>
  <c r="B12" i="23"/>
  <c r="C12" i="23" s="1"/>
  <c r="B10" i="23"/>
  <c r="C10" i="23" s="1"/>
  <c r="B8" i="23"/>
  <c r="C8" i="23" s="1"/>
  <c r="B6" i="23"/>
  <c r="C6" i="23" s="1"/>
  <c r="B4" i="23"/>
  <c r="C4" i="23" s="1"/>
  <c r="B16" i="23"/>
  <c r="C16" i="23" s="1"/>
  <c r="B8" i="15"/>
  <c r="C8" i="15" s="1"/>
  <c r="B10" i="15"/>
  <c r="C10" i="15" s="1"/>
  <c r="B16" i="15"/>
  <c r="C16" i="15" s="1"/>
  <c r="K5" i="17"/>
  <c r="B4" i="17" s="1"/>
  <c r="C4" i="17" s="1"/>
  <c r="K9" i="17"/>
  <c r="B12" i="17" s="1"/>
  <c r="C12" i="17" s="1"/>
  <c r="H10" i="22"/>
  <c r="B14" i="22" s="1"/>
  <c r="C14" i="22" s="1"/>
  <c r="H9" i="22"/>
  <c r="B12" i="22" s="1"/>
  <c r="C12" i="22" s="1"/>
  <c r="H8" i="22"/>
  <c r="B10" i="22" s="1"/>
  <c r="C10" i="22" s="1"/>
  <c r="H7" i="22"/>
  <c r="B8" i="22" s="1"/>
  <c r="C8" i="22" s="1"/>
  <c r="H6" i="22"/>
  <c r="B6" i="22" s="1"/>
  <c r="C6" i="22" s="1"/>
  <c r="H5" i="22"/>
  <c r="B4" i="22" s="1"/>
  <c r="C4" i="22" s="1"/>
  <c r="H4" i="22"/>
  <c r="B16" i="22" s="1"/>
  <c r="C16" i="22" s="1"/>
  <c r="H10" i="21"/>
  <c r="B14" i="21" s="1"/>
  <c r="C14" i="21" s="1"/>
  <c r="H9" i="21"/>
  <c r="B12" i="21" s="1"/>
  <c r="C12" i="21" s="1"/>
  <c r="H8" i="21"/>
  <c r="B10" i="21" s="1"/>
  <c r="C10" i="21" s="1"/>
  <c r="H7" i="21"/>
  <c r="B8" i="21" s="1"/>
  <c r="C8" i="21" s="1"/>
  <c r="H6" i="21"/>
  <c r="B6" i="21" s="1"/>
  <c r="C6" i="21" s="1"/>
  <c r="H5" i="21"/>
  <c r="B4" i="21" s="1"/>
  <c r="C4" i="21" s="1"/>
  <c r="H4" i="21"/>
  <c r="B16" i="21" s="1"/>
  <c r="C16" i="21" s="1"/>
  <c r="H10" i="20"/>
  <c r="B14" i="20" s="1"/>
  <c r="C14" i="20" s="1"/>
  <c r="H9" i="20"/>
  <c r="B12" i="20" s="1"/>
  <c r="C12" i="20" s="1"/>
  <c r="H8" i="20"/>
  <c r="B10" i="20" s="1"/>
  <c r="C10" i="20" s="1"/>
  <c r="H7" i="20"/>
  <c r="B8" i="20" s="1"/>
  <c r="C8" i="20" s="1"/>
  <c r="H6" i="20"/>
  <c r="B6" i="20" s="1"/>
  <c r="C6" i="20" s="1"/>
  <c r="H5" i="20"/>
  <c r="B4" i="20" s="1"/>
  <c r="C4" i="20" s="1"/>
  <c r="H4" i="20"/>
  <c r="B16" i="20" s="1"/>
  <c r="C16" i="20" s="1"/>
  <c r="H10" i="19"/>
  <c r="B14" i="19" s="1"/>
  <c r="C14" i="19" s="1"/>
  <c r="H9" i="19"/>
  <c r="B12" i="19" s="1"/>
  <c r="C12" i="19" s="1"/>
  <c r="H8" i="19"/>
  <c r="B10" i="19" s="1"/>
  <c r="C10" i="19" s="1"/>
  <c r="H7" i="19"/>
  <c r="B8" i="19" s="1"/>
  <c r="C8" i="19" s="1"/>
  <c r="H6" i="19"/>
  <c r="B6" i="19" s="1"/>
  <c r="C6" i="19" s="1"/>
  <c r="H5" i="19"/>
  <c r="B4" i="19" s="1"/>
  <c r="H4" i="19"/>
  <c r="B16" i="19" s="1"/>
  <c r="C16" i="19" s="1"/>
  <c r="H10" i="18"/>
  <c r="B14" i="18" s="1"/>
  <c r="C14" i="18" s="1"/>
  <c r="H9" i="18"/>
  <c r="B12" i="18" s="1"/>
  <c r="C12" i="18" s="1"/>
  <c r="H8" i="18"/>
  <c r="B10" i="18" s="1"/>
  <c r="C10" i="18" s="1"/>
  <c r="H7" i="18"/>
  <c r="B8" i="18" s="1"/>
  <c r="C8" i="18" s="1"/>
  <c r="H6" i="18"/>
  <c r="B6" i="18" s="1"/>
  <c r="C6" i="18" s="1"/>
  <c r="H5" i="18"/>
  <c r="B4" i="18" s="1"/>
  <c r="H4" i="18"/>
  <c r="B16" i="18" s="1"/>
  <c r="C16" i="18" s="1"/>
  <c r="K10" i="17"/>
  <c r="B14" i="17" s="1"/>
  <c r="C14" i="17" s="1"/>
  <c r="K8" i="17"/>
  <c r="B10" i="17" s="1"/>
  <c r="C10" i="17" s="1"/>
  <c r="K7" i="17"/>
  <c r="B8" i="17" s="1"/>
  <c r="C8" i="17" s="1"/>
  <c r="K6" i="17"/>
  <c r="B6" i="17" s="1"/>
  <c r="C6" i="17" s="1"/>
  <c r="K4" i="17"/>
  <c r="B16" i="17" s="1"/>
  <c r="C16" i="17" s="1"/>
  <c r="B14" i="16"/>
  <c r="C14" i="16" s="1"/>
  <c r="B12" i="16"/>
  <c r="C12" i="16" s="1"/>
  <c r="B10" i="16"/>
  <c r="C10" i="16" s="1"/>
  <c r="B8" i="16"/>
  <c r="C8" i="16" s="1"/>
  <c r="B6" i="16"/>
  <c r="C6" i="16" s="1"/>
  <c r="B4" i="16"/>
  <c r="C4" i="16" s="1"/>
  <c r="B16" i="16"/>
  <c r="C16" i="16" s="1"/>
  <c r="B14" i="15"/>
  <c r="C14" i="15" s="1"/>
  <c r="B12" i="15"/>
  <c r="C12" i="15" s="1"/>
  <c r="B6" i="15"/>
  <c r="C6" i="15" s="1"/>
  <c r="B4" i="15"/>
  <c r="C4" i="15" s="1"/>
  <c r="C4" i="19" l="1"/>
  <c r="B18" i="19"/>
  <c r="C4" i="18"/>
  <c r="C18" i="18" s="1"/>
  <c r="C20" i="18" s="1"/>
  <c r="B18" i="18"/>
  <c r="C18" i="23"/>
  <c r="C19" i="23" s="1"/>
  <c r="C18" i="22"/>
  <c r="C20" i="22" s="1"/>
  <c r="C18" i="21"/>
  <c r="C19" i="21" s="1"/>
  <c r="C18" i="20"/>
  <c r="C18" i="19"/>
  <c r="C19" i="19" s="1"/>
  <c r="C20" i="19" s="1"/>
  <c r="C18" i="17"/>
  <c r="C18" i="16"/>
  <c r="C18" i="15"/>
  <c r="C20" i="21" l="1"/>
  <c r="B19" i="21"/>
  <c r="C19" i="17"/>
  <c r="C20" i="17" s="1"/>
  <c r="C21" i="17" s="1"/>
  <c r="C19" i="16"/>
  <c r="C20" i="16" s="1"/>
  <c r="C20" i="23"/>
  <c r="C19" i="15"/>
  <c r="C20" i="15" s="1"/>
  <c r="C21" i="15" s="1"/>
  <c r="C19" i="20"/>
  <c r="C20" i="20" l="1"/>
  <c r="B19" i="20"/>
  <c r="C21" i="23"/>
  <c r="E20" i="23"/>
  <c r="C21" i="16"/>
  <c r="E20" i="16"/>
  <c r="C22" i="17"/>
  <c r="E21" i="17"/>
  <c r="H10" i="2"/>
  <c r="B14" i="2" s="1"/>
  <c r="C14" i="2" s="1"/>
  <c r="H9" i="2"/>
  <c r="B12" i="2" s="1"/>
  <c r="C12" i="2" s="1"/>
  <c r="H8" i="2"/>
  <c r="B10" i="2" s="1"/>
  <c r="C10" i="2" s="1"/>
  <c r="H7" i="2"/>
  <c r="B8" i="2" s="1"/>
  <c r="C8" i="2" s="1"/>
  <c r="H6" i="2"/>
  <c r="B6" i="2" s="1"/>
  <c r="C6" i="2" s="1"/>
  <c r="H5" i="2"/>
  <c r="B4" i="2" s="1"/>
  <c r="H4" i="2"/>
  <c r="B16" i="2" s="1"/>
  <c r="C16" i="2" s="1"/>
  <c r="C4" i="2" l="1"/>
  <c r="B18" i="2"/>
  <c r="C18" i="2"/>
  <c r="C19" i="2" s="1"/>
  <c r="C20" i="2" s="1"/>
</calcChain>
</file>

<file path=xl/sharedStrings.xml><?xml version="1.0" encoding="utf-8"?>
<sst xmlns="http://schemas.openxmlformats.org/spreadsheetml/2006/main" count="234" uniqueCount="42">
  <si>
    <t>ORDENES</t>
  </si>
  <si>
    <t>MENSUAL</t>
  </si>
  <si>
    <t xml:space="preserve">LUNES </t>
  </si>
  <si>
    <t xml:space="preserve">MARTES </t>
  </si>
  <si>
    <t xml:space="preserve">MIERCOLES </t>
  </si>
  <si>
    <t xml:space="preserve">JUEVES </t>
  </si>
  <si>
    <t xml:space="preserve">VIERNES </t>
  </si>
  <si>
    <t xml:space="preserve">SABADO </t>
  </si>
  <si>
    <t xml:space="preserve">DOMINGO </t>
  </si>
  <si>
    <t>TOTAL</t>
  </si>
  <si>
    <t>TOTAL X SERVIDA</t>
  </si>
  <si>
    <t>G</t>
  </si>
  <si>
    <t>KG</t>
  </si>
  <si>
    <t>TOTAL COSTO</t>
  </si>
  <si>
    <t>DOMINGO</t>
  </si>
  <si>
    <t>LUNES</t>
  </si>
  <si>
    <t>MARTES</t>
  </si>
  <si>
    <t>MIÉRCOLES</t>
  </si>
  <si>
    <t>JUEVES</t>
  </si>
  <si>
    <t>VIERNES</t>
  </si>
  <si>
    <t>SÁBADO</t>
  </si>
  <si>
    <t xml:space="preserve">ALMOJABANO PRODUCCION SEMANAL </t>
  </si>
  <si>
    <t>TOTAL PAQUETES</t>
  </si>
  <si>
    <t>PRECIO</t>
  </si>
  <si>
    <t>CANT</t>
  </si>
  <si>
    <t xml:space="preserve">HIGADO PRODUCCION SEMANAL </t>
  </si>
  <si>
    <t xml:space="preserve">BOFE PRODUCCION SEMANAL </t>
  </si>
  <si>
    <t xml:space="preserve">SALCHICHA GUI PRODUCCION SEMANAL </t>
  </si>
  <si>
    <t xml:space="preserve">BOLLO PRODUCCION SEMANAL </t>
  </si>
  <si>
    <t>COMBO</t>
  </si>
  <si>
    <t xml:space="preserve">precio x kg </t>
  </si>
  <si>
    <t xml:space="preserve">precio x lb </t>
  </si>
  <si>
    <t>lb</t>
  </si>
  <si>
    <t>suma</t>
  </si>
  <si>
    <t>%</t>
  </si>
  <si>
    <t>1/2 orden</t>
  </si>
  <si>
    <t>combo</t>
  </si>
  <si>
    <t>orden</t>
  </si>
  <si>
    <t>no se compra</t>
  </si>
  <si>
    <t>1/2 ORDEN</t>
  </si>
  <si>
    <t>27/03/24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</si>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</sst>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B/.&quot;* #,##0.00_-;\-&quot;B/.&quot;* #,##0.00_-;_-&quot;B/.&quot;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/>
      <top/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vertical="center" wrapText="1" shrinkToFit="1" readingOrder="1"/>
    </xf>
    <xf numFmtId="2" fontId="4" fillId="0" borderId="4" xfId="0" applyNumberFormat="1" applyFont="1" applyBorder="1" applyAlignment="1">
      <alignment vertical="center" wrapText="1" shrinkToFit="1" readingOrder="1"/>
    </xf>
    <xf numFmtId="2" fontId="4" fillId="0" borderId="5" xfId="0" applyNumberFormat="1" applyFont="1" applyBorder="1" applyAlignment="1">
      <alignment vertical="center" wrapText="1" shrinkToFit="1" readingOrder="1"/>
    </xf>
    <xf numFmtId="2" fontId="4" fillId="0" borderId="0" xfId="0" applyNumberFormat="1" applyFont="1" applyAlignment="1">
      <alignment vertical="center" wrapText="1" shrinkToFit="1" readingOrder="1"/>
    </xf>
    <xf numFmtId="164" fontId="0" fillId="0" borderId="3" xfId="0" applyNumberFormat="1" applyBorder="1"/>
    <xf numFmtId="2" fontId="4" fillId="0" borderId="6" xfId="0" applyNumberFormat="1" applyFont="1" applyBorder="1" applyAlignment="1">
      <alignment vertical="center" wrapText="1" shrinkToFit="1" readingOrder="1"/>
    </xf>
    <xf numFmtId="2" fontId="4" fillId="0" borderId="7" xfId="0" applyNumberFormat="1" applyFont="1" applyBorder="1" applyAlignment="1">
      <alignment vertical="center" wrapText="1" shrinkToFit="1" readingOrder="1"/>
    </xf>
    <xf numFmtId="1" fontId="0" fillId="0" borderId="0" xfId="0" applyNumberFormat="1"/>
    <xf numFmtId="2" fontId="3" fillId="0" borderId="3" xfId="0" applyNumberFormat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0" fontId="2" fillId="0" borderId="8" xfId="0" applyFont="1" applyBorder="1"/>
    <xf numFmtId="1" fontId="2" fillId="0" borderId="9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44" fontId="0" fillId="0" borderId="3" xfId="2" applyFont="1" applyBorder="1"/>
    <xf numFmtId="44" fontId="2" fillId="0" borderId="2" xfId="2" applyFont="1" applyBorder="1" applyAlignment="1">
      <alignment horizontal="center"/>
    </xf>
    <xf numFmtId="2" fontId="4" fillId="0" borderId="13" xfId="0" applyNumberFormat="1" applyFont="1" applyBorder="1" applyAlignment="1">
      <alignment vertical="center" wrapText="1" shrinkToFit="1" readingOrder="1"/>
    </xf>
    <xf numFmtId="16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3" xfId="0" applyNumberFormat="1" applyBorder="1" applyAlignment="1">
      <alignment horizontal="center"/>
    </xf>
  </cellXfs>
  <cellStyles count="3">
    <cellStyle name="Moneda" xfId="2" builtinId="4"/>
    <cellStyle name="Moned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opLeftCell="A4" workbookViewId="0">
      <selection activeCell="G17" sqref="G17"/>
    </sheetView>
  </sheetViews>
  <sheetFormatPr baseColWidth="10" defaultRowHeight="14.5" x14ac:dyDescent="0.35"/>
  <cols>
    <col min="1" max="1" width="27.0898437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21</v>
      </c>
      <c r="C2" s="6"/>
      <c r="E2" s="29">
        <v>45327</v>
      </c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2.34</v>
      </c>
      <c r="C4" s="9">
        <f>B4*4</f>
        <v>9.36</v>
      </c>
      <c r="E4" t="s">
        <v>14</v>
      </c>
      <c r="F4" s="10">
        <v>1.35</v>
      </c>
      <c r="G4" s="11">
        <f>F4*50%</f>
        <v>0.67500000000000004</v>
      </c>
      <c r="H4" s="12">
        <f>F4+G4</f>
        <v>2.0250000000000004</v>
      </c>
      <c r="J4" s="13"/>
      <c r="K4" s="13"/>
    </row>
    <row r="5" spans="1:11" ht="21" x14ac:dyDescent="0.5">
      <c r="A5" s="4"/>
      <c r="B5" s="5"/>
      <c r="C5" s="9"/>
      <c r="E5" t="s">
        <v>15</v>
      </c>
      <c r="F5" s="14">
        <v>1.56</v>
      </c>
      <c r="G5" s="11">
        <f t="shared" ref="G5:G10" si="0">F5*50%</f>
        <v>0.78</v>
      </c>
      <c r="H5" s="15">
        <f t="shared" ref="H5:H10" si="1">F5+G5</f>
        <v>2.34</v>
      </c>
    </row>
    <row r="6" spans="1:11" ht="21" x14ac:dyDescent="0.5">
      <c r="A6" s="4" t="s">
        <v>3</v>
      </c>
      <c r="B6" s="8">
        <f>H6</f>
        <v>1.26</v>
      </c>
      <c r="C6" s="9">
        <f>B6*4</f>
        <v>5.04</v>
      </c>
      <c r="E6" t="s">
        <v>16</v>
      </c>
      <c r="F6" s="14">
        <v>0.84</v>
      </c>
      <c r="G6" s="11">
        <f t="shared" si="0"/>
        <v>0.42</v>
      </c>
      <c r="H6" s="15">
        <f t="shared" si="1"/>
        <v>1.26</v>
      </c>
    </row>
    <row r="7" spans="1:11" ht="21" x14ac:dyDescent="0.5">
      <c r="A7" s="4"/>
      <c r="B7" s="5"/>
      <c r="C7" s="9"/>
      <c r="E7" t="s">
        <v>17</v>
      </c>
      <c r="F7" s="14">
        <v>0.96</v>
      </c>
      <c r="G7" s="11">
        <f t="shared" si="0"/>
        <v>0.48</v>
      </c>
      <c r="H7" s="15">
        <f t="shared" si="1"/>
        <v>1.44</v>
      </c>
    </row>
    <row r="8" spans="1:11" ht="21" x14ac:dyDescent="0.5">
      <c r="A8" s="4" t="s">
        <v>4</v>
      </c>
      <c r="B8" s="8">
        <f>H7</f>
        <v>1.44</v>
      </c>
      <c r="C8" s="9">
        <f>B8*4</f>
        <v>5.76</v>
      </c>
      <c r="E8" t="s">
        <v>18</v>
      </c>
      <c r="F8" s="14">
        <v>1.31</v>
      </c>
      <c r="G8" s="11">
        <f t="shared" si="0"/>
        <v>0.65500000000000003</v>
      </c>
      <c r="H8" s="15">
        <f t="shared" si="1"/>
        <v>1.9650000000000001</v>
      </c>
    </row>
    <row r="9" spans="1:11" ht="21" x14ac:dyDescent="0.5">
      <c r="A9" s="4"/>
      <c r="B9" s="5"/>
      <c r="C9" s="9"/>
      <c r="E9" t="s">
        <v>19</v>
      </c>
      <c r="F9" s="14">
        <v>0.89</v>
      </c>
      <c r="G9" s="11">
        <f t="shared" si="0"/>
        <v>0.44500000000000001</v>
      </c>
      <c r="H9" s="15">
        <f t="shared" si="1"/>
        <v>1.335</v>
      </c>
    </row>
    <row r="10" spans="1:11" ht="21" x14ac:dyDescent="0.5">
      <c r="A10" s="4" t="s">
        <v>5</v>
      </c>
      <c r="B10" s="8">
        <f>H8</f>
        <v>1.9650000000000001</v>
      </c>
      <c r="C10" s="9">
        <f>B10*4</f>
        <v>7.86</v>
      </c>
      <c r="E10" t="s">
        <v>20</v>
      </c>
      <c r="F10" s="14">
        <v>1.03</v>
      </c>
      <c r="G10" s="11">
        <f t="shared" si="0"/>
        <v>0.51500000000000001</v>
      </c>
      <c r="H10" s="16">
        <f t="shared" si="1"/>
        <v>1.5449999999999999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1.335</v>
      </c>
      <c r="C12" s="9">
        <f>B12*4</f>
        <v>5.34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1.5449999999999999</v>
      </c>
      <c r="C14" s="9">
        <f>B14*4</f>
        <v>6.18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2.0250000000000004</v>
      </c>
      <c r="C16" s="9">
        <f>B16*4</f>
        <v>8.1000000000000014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21">
        <f>SUM(B4:B16)</f>
        <v>11.91</v>
      </c>
      <c r="C18" s="22">
        <f>SUM(C4:C16)</f>
        <v>47.64</v>
      </c>
    </row>
    <row r="19" spans="1:6" ht="21" x14ac:dyDescent="0.5">
      <c r="A19" s="20" t="s">
        <v>22</v>
      </c>
      <c r="B19" s="3"/>
      <c r="C19" s="9">
        <f>C18/F19</f>
        <v>2.9775</v>
      </c>
      <c r="E19" s="3" t="s">
        <v>24</v>
      </c>
      <c r="F19" s="3">
        <v>16</v>
      </c>
    </row>
    <row r="20" spans="1:6" ht="21" x14ac:dyDescent="0.5">
      <c r="A20" s="4" t="s">
        <v>13</v>
      </c>
      <c r="B20" s="23"/>
      <c r="C20" s="24">
        <f>C19*F20</f>
        <v>5.9550000000000001</v>
      </c>
      <c r="E20" s="3" t="s">
        <v>23</v>
      </c>
      <c r="F20" s="25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opLeftCell="A4" workbookViewId="0">
      <selection activeCell="E15" sqref="E15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7" width="10.36328125" customWidth="1"/>
    <col min="9" max="9" width="12.54296875" bestFit="1" customWidth="1"/>
    <col min="10" max="10" width="12.54296875" customWidth="1"/>
  </cols>
  <sheetData>
    <row r="1" spans="1:13" x14ac:dyDescent="0.35">
      <c r="A1" s="1"/>
      <c r="B1" s="2"/>
      <c r="C1" s="3"/>
    </row>
    <row r="2" spans="1:13" ht="21" x14ac:dyDescent="0.5">
      <c r="A2" s="4"/>
      <c r="B2" s="5" t="s">
        <v>25</v>
      </c>
      <c r="C2" s="6"/>
    </row>
    <row r="3" spans="1:13" ht="21" x14ac:dyDescent="0.5">
      <c r="A3" s="4"/>
      <c r="B3" s="5" t="s">
        <v>0</v>
      </c>
      <c r="C3" s="7" t="s">
        <v>1</v>
      </c>
      <c r="G3" t="s">
        <v>29</v>
      </c>
      <c r="I3" t="s">
        <v>33</v>
      </c>
      <c r="J3" t="s">
        <v>34</v>
      </c>
    </row>
    <row r="4" spans="1:13" ht="21" x14ac:dyDescent="0.5">
      <c r="A4" s="4" t="s">
        <v>2</v>
      </c>
      <c r="B4" s="8">
        <f>K5</f>
        <v>3.0819999999999999</v>
      </c>
      <c r="C4" s="9">
        <f>B4*4</f>
        <v>12.327999999999999</v>
      </c>
      <c r="F4" t="s">
        <v>14</v>
      </c>
      <c r="G4">
        <v>0.21</v>
      </c>
      <c r="H4">
        <v>4.66</v>
      </c>
      <c r="I4" s="11">
        <f>H4+G4</f>
        <v>4.87</v>
      </c>
      <c r="J4" s="27">
        <f>I4*15%</f>
        <v>0.73050000000000004</v>
      </c>
      <c r="K4" s="12">
        <f>J4+I4</f>
        <v>5.6005000000000003</v>
      </c>
      <c r="L4" s="13"/>
      <c r="M4" s="13"/>
    </row>
    <row r="5" spans="1:13" ht="21" x14ac:dyDescent="0.5">
      <c r="A5" s="4"/>
      <c r="B5" s="5"/>
      <c r="C5" s="9"/>
      <c r="F5" t="s">
        <v>15</v>
      </c>
      <c r="G5">
        <v>0.09</v>
      </c>
      <c r="H5">
        <v>2.59</v>
      </c>
      <c r="I5" s="11">
        <f t="shared" ref="I5:I10" si="0">H5+G5</f>
        <v>2.6799999999999997</v>
      </c>
      <c r="J5" s="27">
        <f t="shared" ref="J5:J10" si="1">I5*15%</f>
        <v>0.40199999999999997</v>
      </c>
      <c r="K5" s="12">
        <f t="shared" ref="K5:K10" si="2">J5+I5</f>
        <v>3.0819999999999999</v>
      </c>
    </row>
    <row r="6" spans="1:13" ht="21" x14ac:dyDescent="0.5">
      <c r="A6" s="4" t="s">
        <v>3</v>
      </c>
      <c r="B6" s="8">
        <f>K6</f>
        <v>3.9445000000000001</v>
      </c>
      <c r="C6" s="9">
        <f>B6*4</f>
        <v>15.778</v>
      </c>
      <c r="F6" t="s">
        <v>16</v>
      </c>
      <c r="G6">
        <v>0.14000000000000001</v>
      </c>
      <c r="H6">
        <v>3.29</v>
      </c>
      <c r="I6" s="11">
        <f t="shared" si="0"/>
        <v>3.43</v>
      </c>
      <c r="J6" s="27">
        <f t="shared" si="1"/>
        <v>0.51449999999999996</v>
      </c>
      <c r="K6" s="12">
        <f t="shared" si="2"/>
        <v>3.9445000000000001</v>
      </c>
    </row>
    <row r="7" spans="1:13" ht="21" x14ac:dyDescent="0.5">
      <c r="A7" s="4"/>
      <c r="B7" s="5"/>
      <c r="C7" s="9"/>
      <c r="F7" t="s">
        <v>17</v>
      </c>
      <c r="G7">
        <v>0.12</v>
      </c>
      <c r="H7">
        <v>2.54</v>
      </c>
      <c r="I7" s="11">
        <f t="shared" si="0"/>
        <v>2.66</v>
      </c>
      <c r="J7" s="27">
        <f t="shared" si="1"/>
        <v>0.39900000000000002</v>
      </c>
      <c r="K7" s="12">
        <f t="shared" si="2"/>
        <v>3.0590000000000002</v>
      </c>
    </row>
    <row r="8" spans="1:13" ht="21" x14ac:dyDescent="0.5">
      <c r="A8" s="4" t="s">
        <v>4</v>
      </c>
      <c r="B8" s="8">
        <f>K7</f>
        <v>3.0590000000000002</v>
      </c>
      <c r="C8" s="9">
        <f>B8*4</f>
        <v>12.236000000000001</v>
      </c>
      <c r="F8" t="s">
        <v>18</v>
      </c>
      <c r="G8">
        <v>0.12</v>
      </c>
      <c r="H8">
        <v>3.19</v>
      </c>
      <c r="I8" s="11">
        <f t="shared" si="0"/>
        <v>3.31</v>
      </c>
      <c r="J8" s="27">
        <f t="shared" si="1"/>
        <v>0.4965</v>
      </c>
      <c r="K8" s="12">
        <f t="shared" si="2"/>
        <v>3.8065000000000002</v>
      </c>
    </row>
    <row r="9" spans="1:13" ht="21" x14ac:dyDescent="0.5">
      <c r="A9" s="4"/>
      <c r="B9" s="5"/>
      <c r="C9" s="9"/>
      <c r="F9" t="s">
        <v>19</v>
      </c>
      <c r="G9">
        <v>0.21</v>
      </c>
      <c r="H9">
        <v>3.26</v>
      </c>
      <c r="I9" s="11">
        <f t="shared" si="0"/>
        <v>3.4699999999999998</v>
      </c>
      <c r="J9" s="27">
        <f t="shared" si="1"/>
        <v>0.52049999999999996</v>
      </c>
      <c r="K9" s="12">
        <f t="shared" si="2"/>
        <v>3.9904999999999999</v>
      </c>
    </row>
    <row r="10" spans="1:13" ht="21" x14ac:dyDescent="0.5">
      <c r="A10" s="4" t="s">
        <v>5</v>
      </c>
      <c r="B10" s="8">
        <f>K8</f>
        <v>3.8065000000000002</v>
      </c>
      <c r="C10" s="9">
        <f>B10*4</f>
        <v>15.226000000000001</v>
      </c>
      <c r="F10" t="s">
        <v>20</v>
      </c>
      <c r="G10">
        <v>0.14000000000000001</v>
      </c>
      <c r="H10">
        <v>4.41</v>
      </c>
      <c r="I10" s="11">
        <f t="shared" si="0"/>
        <v>4.55</v>
      </c>
      <c r="J10" s="27">
        <f t="shared" si="1"/>
        <v>0.6825</v>
      </c>
      <c r="K10" s="12">
        <f t="shared" si="2"/>
        <v>5.2324999999999999</v>
      </c>
    </row>
    <row r="11" spans="1:13" ht="21" x14ac:dyDescent="0.5">
      <c r="A11" s="4"/>
      <c r="B11" s="5"/>
      <c r="C11" s="9"/>
      <c r="E11" s="17"/>
      <c r="I11" s="17"/>
      <c r="J11" s="17"/>
    </row>
    <row r="12" spans="1:13" ht="21" x14ac:dyDescent="0.5">
      <c r="A12" s="4" t="s">
        <v>6</v>
      </c>
      <c r="B12" s="8">
        <f>K9</f>
        <v>3.9904999999999999</v>
      </c>
      <c r="C12" s="9">
        <f>B12*4</f>
        <v>15.962</v>
      </c>
      <c r="E12" s="17"/>
      <c r="I12" s="17"/>
      <c r="J12" s="17"/>
    </row>
    <row r="13" spans="1:13" ht="21" x14ac:dyDescent="0.5">
      <c r="A13" s="4"/>
      <c r="B13" s="5"/>
      <c r="C13" s="9"/>
      <c r="I13" s="17"/>
      <c r="J13" s="17"/>
    </row>
    <row r="14" spans="1:13" ht="21" x14ac:dyDescent="0.5">
      <c r="A14" s="4" t="s">
        <v>7</v>
      </c>
      <c r="B14" s="8">
        <f>K10</f>
        <v>5.2324999999999999</v>
      </c>
      <c r="C14" s="9">
        <f>B14*4</f>
        <v>20.93</v>
      </c>
    </row>
    <row r="15" spans="1:13" ht="21" x14ac:dyDescent="0.5">
      <c r="A15" s="4"/>
      <c r="B15" s="5"/>
      <c r="C15" s="9"/>
    </row>
    <row r="16" spans="1:13" ht="21" x14ac:dyDescent="0.5">
      <c r="A16" s="4" t="s">
        <v>8</v>
      </c>
      <c r="B16" s="8">
        <f>K4</f>
        <v>5.6005000000000003</v>
      </c>
      <c r="C16" s="9">
        <f>B16*4</f>
        <v>22.402000000000001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8"/>
      <c r="C18" s="9">
        <f>SUM(C4:C16)</f>
        <v>114.86200000000001</v>
      </c>
    </row>
    <row r="19" spans="1:6" ht="21" x14ac:dyDescent="0.5">
      <c r="A19" s="4" t="s">
        <v>10</v>
      </c>
      <c r="B19" s="8"/>
      <c r="C19" s="9">
        <f>C18*250</f>
        <v>28715.500000000004</v>
      </c>
      <c r="D19" t="s">
        <v>11</v>
      </c>
    </row>
    <row r="20" spans="1:6" ht="21" x14ac:dyDescent="0.5">
      <c r="A20" s="4" t="s">
        <v>30</v>
      </c>
      <c r="B20" s="26">
        <v>2.75</v>
      </c>
      <c r="C20" s="18">
        <f>C19/1000</f>
        <v>28.715500000000002</v>
      </c>
      <c r="D20" t="s">
        <v>12</v>
      </c>
      <c r="F20" s="30">
        <f>40/2.2</f>
        <v>18.18181818181818</v>
      </c>
    </row>
    <row r="21" spans="1:6" ht="21" x14ac:dyDescent="0.5">
      <c r="A21" s="4" t="s">
        <v>13</v>
      </c>
      <c r="B21" s="8"/>
      <c r="C21" s="19">
        <f>C20*B20</f>
        <v>78.967625000000012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opLeftCell="A7" workbookViewId="0">
      <selection activeCell="E18" sqref="E18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7" width="10.36328125" customWidth="1"/>
    <col min="9" max="9" width="12.54296875" bestFit="1" customWidth="1"/>
  </cols>
  <sheetData>
    <row r="1" spans="1:12" x14ac:dyDescent="0.35">
      <c r="A1" s="1"/>
      <c r="B1" s="2"/>
      <c r="C1" s="3"/>
    </row>
    <row r="2" spans="1:12" ht="21" x14ac:dyDescent="0.5">
      <c r="A2" s="4"/>
      <c r="B2" s="5" t="s">
        <v>26</v>
      </c>
      <c r="C2" s="6"/>
    </row>
    <row r="3" spans="1:12" ht="21" x14ac:dyDescent="0.5">
      <c r="A3" s="4"/>
      <c r="B3" s="5" t="s">
        <v>0</v>
      </c>
      <c r="C3" s="7" t="s">
        <v>1</v>
      </c>
      <c r="G3" t="s">
        <v>29</v>
      </c>
    </row>
    <row r="4" spans="1:12" ht="21" x14ac:dyDescent="0.5">
      <c r="A4" s="4" t="s">
        <v>2</v>
      </c>
      <c r="B4" s="8">
        <f>J5</f>
        <v>6.2204999999999995</v>
      </c>
      <c r="C4" s="9">
        <f>B4*4</f>
        <v>24.881999999999998</v>
      </c>
      <c r="F4" t="s">
        <v>14</v>
      </c>
      <c r="G4">
        <v>0.35</v>
      </c>
      <c r="H4">
        <v>4.99</v>
      </c>
      <c r="I4" s="11">
        <f>H4*15%</f>
        <v>0.74850000000000005</v>
      </c>
      <c r="J4" s="12">
        <f>H4+I4+G4</f>
        <v>6.0884999999999998</v>
      </c>
      <c r="K4" s="13"/>
      <c r="L4" s="13"/>
    </row>
    <row r="5" spans="1:12" ht="21" x14ac:dyDescent="0.5">
      <c r="A5" s="4"/>
      <c r="B5" s="5"/>
      <c r="C5" s="9"/>
      <c r="F5" t="s">
        <v>15</v>
      </c>
      <c r="G5">
        <v>0.16</v>
      </c>
      <c r="H5">
        <v>5.27</v>
      </c>
      <c r="I5" s="11">
        <f t="shared" ref="I5:I10" si="0">H5*15%</f>
        <v>0.79049999999999987</v>
      </c>
      <c r="J5" s="12">
        <f t="shared" ref="J5:J10" si="1">H5+I5+G5</f>
        <v>6.2204999999999995</v>
      </c>
    </row>
    <row r="6" spans="1:12" ht="21" x14ac:dyDescent="0.5">
      <c r="A6" s="4" t="s">
        <v>3</v>
      </c>
      <c r="B6" s="8">
        <f>J6</f>
        <v>7.0345000000000004</v>
      </c>
      <c r="C6" s="9">
        <f>B6*4</f>
        <v>28.138000000000002</v>
      </c>
      <c r="F6" t="s">
        <v>16</v>
      </c>
      <c r="G6">
        <v>0.33</v>
      </c>
      <c r="H6">
        <v>5.83</v>
      </c>
      <c r="I6" s="11">
        <f t="shared" si="0"/>
        <v>0.87449999999999994</v>
      </c>
      <c r="J6" s="12">
        <f t="shared" si="1"/>
        <v>7.0345000000000004</v>
      </c>
    </row>
    <row r="7" spans="1:12" ht="21" x14ac:dyDescent="0.5">
      <c r="A7" s="4"/>
      <c r="B7" s="5"/>
      <c r="C7" s="9"/>
      <c r="F7" t="s">
        <v>17</v>
      </c>
      <c r="G7">
        <v>0.23</v>
      </c>
      <c r="H7">
        <v>5.52</v>
      </c>
      <c r="I7" s="11">
        <f t="shared" si="0"/>
        <v>0.82799999999999996</v>
      </c>
      <c r="J7" s="12">
        <f t="shared" si="1"/>
        <v>6.5780000000000003</v>
      </c>
    </row>
    <row r="8" spans="1:12" ht="21" x14ac:dyDescent="0.5">
      <c r="A8" s="4" t="s">
        <v>4</v>
      </c>
      <c r="B8" s="8">
        <f>J7</f>
        <v>6.5780000000000003</v>
      </c>
      <c r="C8" s="9">
        <f>B8*4</f>
        <v>26.312000000000001</v>
      </c>
      <c r="F8" t="s">
        <v>18</v>
      </c>
      <c r="G8">
        <v>0.54</v>
      </c>
      <c r="H8">
        <v>5.85</v>
      </c>
      <c r="I8" s="11">
        <f t="shared" si="0"/>
        <v>0.87749999999999995</v>
      </c>
      <c r="J8" s="12">
        <f t="shared" si="1"/>
        <v>7.2674999999999992</v>
      </c>
    </row>
    <row r="9" spans="1:12" ht="21" x14ac:dyDescent="0.5">
      <c r="A9" s="4"/>
      <c r="B9" s="5"/>
      <c r="C9" s="9"/>
      <c r="F9" t="s">
        <v>19</v>
      </c>
      <c r="G9">
        <v>0.7</v>
      </c>
      <c r="H9">
        <v>6.25</v>
      </c>
      <c r="I9" s="11">
        <f t="shared" si="0"/>
        <v>0.9375</v>
      </c>
      <c r="J9" s="12">
        <f t="shared" si="1"/>
        <v>7.8875000000000002</v>
      </c>
    </row>
    <row r="10" spans="1:12" ht="21" x14ac:dyDescent="0.5">
      <c r="A10" s="4" t="s">
        <v>5</v>
      </c>
      <c r="B10" s="8">
        <f>J8</f>
        <v>7.2674999999999992</v>
      </c>
      <c r="C10" s="9">
        <f>B10*4</f>
        <v>29.069999999999997</v>
      </c>
      <c r="F10" t="s">
        <v>20</v>
      </c>
      <c r="H10">
        <v>7.23</v>
      </c>
      <c r="I10" s="11">
        <f t="shared" si="0"/>
        <v>1.0845</v>
      </c>
      <c r="J10" s="12">
        <f t="shared" si="1"/>
        <v>8.3145000000000007</v>
      </c>
    </row>
    <row r="11" spans="1:12" ht="21" x14ac:dyDescent="0.5">
      <c r="A11" s="4"/>
      <c r="B11" s="5"/>
      <c r="C11" s="9"/>
      <c r="E11" s="17"/>
      <c r="I11" s="17"/>
    </row>
    <row r="12" spans="1:12" ht="21" x14ac:dyDescent="0.5">
      <c r="A12" s="4" t="s">
        <v>6</v>
      </c>
      <c r="B12" s="8">
        <f>J9</f>
        <v>7.8875000000000002</v>
      </c>
      <c r="C12" s="9">
        <f>B12*4</f>
        <v>31.55</v>
      </c>
      <c r="E12" s="17"/>
      <c r="I12" s="17"/>
    </row>
    <row r="13" spans="1:12" ht="21" x14ac:dyDescent="0.5">
      <c r="A13" s="4"/>
      <c r="B13" s="5"/>
      <c r="C13" s="9"/>
      <c r="I13" s="17"/>
    </row>
    <row r="14" spans="1:12" ht="21" x14ac:dyDescent="0.5">
      <c r="A14" s="4" t="s">
        <v>7</v>
      </c>
      <c r="B14" s="8">
        <f>J10</f>
        <v>8.3145000000000007</v>
      </c>
      <c r="C14" s="9">
        <f>B14*4</f>
        <v>33.258000000000003</v>
      </c>
    </row>
    <row r="15" spans="1:12" ht="21" x14ac:dyDescent="0.5">
      <c r="A15" s="4"/>
      <c r="B15" s="5"/>
      <c r="C15" s="9"/>
    </row>
    <row r="16" spans="1:12" ht="21" x14ac:dyDescent="0.5">
      <c r="A16" s="4" t="s">
        <v>8</v>
      </c>
      <c r="B16" s="8">
        <f>J4</f>
        <v>6.0884999999999998</v>
      </c>
      <c r="C16" s="9">
        <f>B16*4</f>
        <v>24.353999999999999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197.56400000000002</v>
      </c>
    </row>
    <row r="19" spans="1:5" ht="21" x14ac:dyDescent="0.5">
      <c r="A19" s="4" t="s">
        <v>10</v>
      </c>
      <c r="B19" s="8"/>
      <c r="C19" s="9">
        <f>C18*160</f>
        <v>31610.240000000005</v>
      </c>
      <c r="D19" t="s">
        <v>11</v>
      </c>
    </row>
    <row r="20" spans="1:5" ht="21" x14ac:dyDescent="0.5">
      <c r="A20" s="4"/>
      <c r="B20" s="26">
        <v>7.17</v>
      </c>
      <c r="C20" s="18">
        <f>C19/1000</f>
        <v>31.610240000000005</v>
      </c>
      <c r="D20" t="s">
        <v>12</v>
      </c>
      <c r="E20">
        <f>C20/4</f>
        <v>7.9025600000000011</v>
      </c>
    </row>
    <row r="21" spans="1:5" ht="21" x14ac:dyDescent="0.5">
      <c r="A21" s="4" t="s">
        <v>13</v>
      </c>
      <c r="B21" s="8"/>
      <c r="C21" s="19">
        <f>C20*B20</f>
        <v>226.64542080000004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topLeftCell="A10" workbookViewId="0">
      <selection activeCell="C21" sqref="C21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8" width="10.36328125" customWidth="1"/>
    <col min="10" max="10" width="12.54296875" bestFit="1" customWidth="1"/>
  </cols>
  <sheetData>
    <row r="1" spans="1:13" x14ac:dyDescent="0.35">
      <c r="A1" s="1"/>
      <c r="B1" s="2"/>
      <c r="C1" s="3"/>
    </row>
    <row r="2" spans="1:13" ht="21" x14ac:dyDescent="0.5">
      <c r="A2" s="4"/>
      <c r="B2" s="5" t="s">
        <v>26</v>
      </c>
      <c r="C2" s="6"/>
    </row>
    <row r="3" spans="1:13" ht="21" x14ac:dyDescent="0.5">
      <c r="A3" s="4"/>
      <c r="B3" s="5" t="s">
        <v>0</v>
      </c>
      <c r="C3" s="7" t="s">
        <v>1</v>
      </c>
      <c r="G3" t="s">
        <v>29</v>
      </c>
      <c r="H3" s="28" t="s">
        <v>39</v>
      </c>
    </row>
    <row r="4" spans="1:13" ht="21" x14ac:dyDescent="0.5">
      <c r="A4" s="4" t="s">
        <v>2</v>
      </c>
      <c r="B4" s="8">
        <f>K5</f>
        <v>7.4949999999999992</v>
      </c>
      <c r="C4" s="9">
        <f>B4*4</f>
        <v>29.979999999999997</v>
      </c>
      <c r="F4" t="s">
        <v>14</v>
      </c>
      <c r="G4">
        <v>0.79</v>
      </c>
      <c r="H4">
        <v>5.0599999999999996</v>
      </c>
      <c r="I4">
        <v>2.38</v>
      </c>
      <c r="J4" s="11">
        <f>I4*15%</f>
        <v>0.35699999999999998</v>
      </c>
      <c r="K4" s="12">
        <f>I4+J4+H4+G4</f>
        <v>8.5869999999999997</v>
      </c>
      <c r="L4" s="13"/>
      <c r="M4" s="13"/>
    </row>
    <row r="5" spans="1:13" ht="21" x14ac:dyDescent="0.5">
      <c r="A5" s="4"/>
      <c r="B5" s="5"/>
      <c r="C5" s="9"/>
      <c r="F5" t="s">
        <v>15</v>
      </c>
      <c r="G5">
        <v>0.3</v>
      </c>
      <c r="H5">
        <v>6.39</v>
      </c>
      <c r="I5">
        <v>0.7</v>
      </c>
      <c r="J5" s="11">
        <f t="shared" ref="J5:J10" si="0">I5*15%</f>
        <v>0.105</v>
      </c>
      <c r="K5" s="12">
        <f t="shared" ref="K5" si="1">I5+J5+H5+G5</f>
        <v>7.4949999999999992</v>
      </c>
    </row>
    <row r="6" spans="1:13" ht="21" x14ac:dyDescent="0.5">
      <c r="A6" s="4" t="s">
        <v>3</v>
      </c>
      <c r="B6" s="8">
        <f>K6</f>
        <v>8.2810000000000006</v>
      </c>
      <c r="C6" s="9">
        <f>B6*4</f>
        <v>33.124000000000002</v>
      </c>
      <c r="F6" t="s">
        <v>16</v>
      </c>
      <c r="G6">
        <v>0.51</v>
      </c>
      <c r="H6">
        <v>6.46</v>
      </c>
      <c r="I6">
        <v>1.1399999999999999</v>
      </c>
      <c r="J6" s="11">
        <f t="shared" si="0"/>
        <v>0.17099999999999999</v>
      </c>
      <c r="K6" s="12">
        <f>I6+J6+H6+G6</f>
        <v>8.2810000000000006</v>
      </c>
    </row>
    <row r="7" spans="1:13" ht="21" x14ac:dyDescent="0.5">
      <c r="A7" s="4"/>
      <c r="B7" s="5"/>
      <c r="C7" s="9"/>
      <c r="F7" t="s">
        <v>17</v>
      </c>
      <c r="G7">
        <v>0.21</v>
      </c>
      <c r="H7">
        <v>6.06</v>
      </c>
      <c r="I7">
        <v>0.98</v>
      </c>
      <c r="J7" s="11">
        <f t="shared" si="0"/>
        <v>0.14699999999999999</v>
      </c>
      <c r="K7" s="12">
        <f>I7+J7+H7+G7</f>
        <v>7.3969999999999994</v>
      </c>
    </row>
    <row r="8" spans="1:13" ht="21" x14ac:dyDescent="0.5">
      <c r="A8" s="4" t="s">
        <v>4</v>
      </c>
      <c r="B8" s="8">
        <f>K7</f>
        <v>7.3969999999999994</v>
      </c>
      <c r="C8" s="9">
        <f>B8*4</f>
        <v>29.587999999999997</v>
      </c>
      <c r="F8" t="s">
        <v>18</v>
      </c>
      <c r="G8">
        <v>0.65</v>
      </c>
      <c r="H8">
        <v>6.92</v>
      </c>
      <c r="I8">
        <v>1.19</v>
      </c>
      <c r="J8" s="11">
        <f t="shared" si="0"/>
        <v>0.17849999999999999</v>
      </c>
      <c r="K8" s="12">
        <f>I8+J8+H8+G8</f>
        <v>8.9384999999999994</v>
      </c>
    </row>
    <row r="9" spans="1:13" ht="21" x14ac:dyDescent="0.5">
      <c r="A9" s="4"/>
      <c r="B9" s="5"/>
      <c r="C9" s="9"/>
      <c r="F9" t="s">
        <v>19</v>
      </c>
      <c r="G9">
        <v>0.72</v>
      </c>
      <c r="H9">
        <v>6.97</v>
      </c>
      <c r="I9">
        <v>1.47</v>
      </c>
      <c r="J9" s="11">
        <f t="shared" si="0"/>
        <v>0.2205</v>
      </c>
      <c r="K9" s="12">
        <f>I9+J9+H9+G9</f>
        <v>9.3804999999999996</v>
      </c>
    </row>
    <row r="10" spans="1:13" ht="21" x14ac:dyDescent="0.5">
      <c r="A10" s="4" t="s">
        <v>5</v>
      </c>
      <c r="B10" s="8">
        <f>K8</f>
        <v>8.9384999999999994</v>
      </c>
      <c r="C10" s="9">
        <f>B10*4</f>
        <v>35.753999999999998</v>
      </c>
      <c r="F10" t="s">
        <v>20</v>
      </c>
      <c r="G10">
        <v>0.77</v>
      </c>
      <c r="H10">
        <v>7.88</v>
      </c>
      <c r="I10">
        <v>1.66</v>
      </c>
      <c r="J10" s="11">
        <f t="shared" si="0"/>
        <v>0.24899999999999997</v>
      </c>
      <c r="K10" s="12">
        <f>I10+J10+H10+G10</f>
        <v>10.558999999999999</v>
      </c>
    </row>
    <row r="11" spans="1:13" ht="21" x14ac:dyDescent="0.5">
      <c r="A11" s="4"/>
      <c r="B11" s="5"/>
      <c r="C11" s="9"/>
      <c r="E11" s="17"/>
      <c r="J11" s="17"/>
    </row>
    <row r="12" spans="1:13" ht="21" x14ac:dyDescent="0.5">
      <c r="A12" s="4" t="s">
        <v>6</v>
      </c>
      <c r="B12" s="8">
        <f>K9</f>
        <v>9.3804999999999996</v>
      </c>
      <c r="C12" s="9">
        <f>B12*4</f>
        <v>37.521999999999998</v>
      </c>
      <c r="E12" s="17"/>
      <c r="J12" s="17"/>
    </row>
    <row r="13" spans="1:13" ht="21" x14ac:dyDescent="0.5">
      <c r="A13" s="4"/>
      <c r="B13" s="5"/>
      <c r="C13" s="9"/>
      <c r="J13" s="17"/>
    </row>
    <row r="14" spans="1:13" ht="21" x14ac:dyDescent="0.5">
      <c r="A14" s="4" t="s">
        <v>7</v>
      </c>
      <c r="B14" s="8">
        <f>K10</f>
        <v>10.558999999999999</v>
      </c>
      <c r="C14" s="9">
        <f>B14*4</f>
        <v>42.235999999999997</v>
      </c>
    </row>
    <row r="15" spans="1:13" ht="21" x14ac:dyDescent="0.5">
      <c r="A15" s="4"/>
      <c r="B15" s="5"/>
      <c r="C15" s="9"/>
    </row>
    <row r="16" spans="1:13" ht="21" x14ac:dyDescent="0.5">
      <c r="A16" s="4" t="s">
        <v>8</v>
      </c>
      <c r="B16" s="8">
        <f>K4</f>
        <v>8.5869999999999997</v>
      </c>
      <c r="C16" s="9">
        <f>B16*4</f>
        <v>34.347999999999999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242.55199999999996</v>
      </c>
    </row>
    <row r="19" spans="1:5" ht="21" x14ac:dyDescent="0.5">
      <c r="A19" s="4" t="s">
        <v>10</v>
      </c>
      <c r="B19" s="8"/>
      <c r="C19" s="9">
        <f>C18*220</f>
        <v>53361.439999999995</v>
      </c>
      <c r="D19" t="s">
        <v>11</v>
      </c>
    </row>
    <row r="20" spans="1:5" ht="21" x14ac:dyDescent="0.5">
      <c r="A20" s="4" t="s">
        <v>30</v>
      </c>
      <c r="B20" s="26">
        <v>3.63</v>
      </c>
      <c r="C20" s="18">
        <f>C19/1000</f>
        <v>53.361439999999995</v>
      </c>
      <c r="D20" t="s">
        <v>12</v>
      </c>
      <c r="E20">
        <f>C20/4</f>
        <v>13.340359999999999</v>
      </c>
    </row>
    <row r="21" spans="1:5" ht="21" x14ac:dyDescent="0.5">
      <c r="A21" s="4" t="s">
        <v>13</v>
      </c>
      <c r="B21" s="8"/>
      <c r="C21" s="19">
        <f>C20*B20</f>
        <v>193.70202719999997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topLeftCell="A10" workbookViewId="0">
      <selection activeCell="H18" sqref="H18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7" max="8" width="10.36328125" customWidth="1"/>
    <col min="10" max="10" width="12.54296875" bestFit="1" customWidth="1"/>
  </cols>
  <sheetData>
    <row r="1" spans="1:13" x14ac:dyDescent="0.35">
      <c r="A1" s="1"/>
      <c r="B1" s="2"/>
      <c r="C1" s="3"/>
    </row>
    <row r="2" spans="1:13" ht="21" x14ac:dyDescent="0.5">
      <c r="A2" s="4"/>
      <c r="B2" s="5" t="s">
        <v>27</v>
      </c>
      <c r="C2" s="6"/>
    </row>
    <row r="3" spans="1:13" ht="21" x14ac:dyDescent="0.5">
      <c r="A3" s="4"/>
      <c r="B3" s="5" t="s">
        <v>0</v>
      </c>
      <c r="C3" s="7" t="s">
        <v>1</v>
      </c>
      <c r="G3" t="s">
        <v>36</v>
      </c>
      <c r="H3" t="s">
        <v>35</v>
      </c>
      <c r="I3" t="s">
        <v>37</v>
      </c>
    </row>
    <row r="4" spans="1:13" ht="21" x14ac:dyDescent="0.5">
      <c r="A4" s="4" t="s">
        <v>2</v>
      </c>
      <c r="B4" s="8">
        <f>K5</f>
        <v>1.8759999999999999</v>
      </c>
      <c r="C4" s="9">
        <f>B4*4</f>
        <v>7.5039999999999996</v>
      </c>
      <c r="F4" t="s">
        <v>14</v>
      </c>
      <c r="G4">
        <v>0.42</v>
      </c>
      <c r="H4">
        <v>4.13</v>
      </c>
      <c r="I4">
        <v>1.45</v>
      </c>
      <c r="J4" s="11">
        <f>(G4+I4+H4)*15%</f>
        <v>0.89999999999999991</v>
      </c>
      <c r="K4" s="12">
        <f t="shared" ref="K4:K10" si="0">I4+J4</f>
        <v>2.3499999999999996</v>
      </c>
      <c r="L4" s="13"/>
      <c r="M4" s="13"/>
    </row>
    <row r="5" spans="1:13" ht="21" x14ac:dyDescent="0.5">
      <c r="A5" s="4"/>
      <c r="B5" s="5"/>
      <c r="C5" s="9"/>
      <c r="F5" t="s">
        <v>15</v>
      </c>
      <c r="G5">
        <v>0.14000000000000001</v>
      </c>
      <c r="H5">
        <v>6.08</v>
      </c>
      <c r="I5">
        <v>0.82</v>
      </c>
      <c r="J5" s="11">
        <f t="shared" ref="J5:J10" si="1">(G5+I5+H5)*15%</f>
        <v>1.056</v>
      </c>
      <c r="K5" s="15">
        <f t="shared" si="0"/>
        <v>1.8759999999999999</v>
      </c>
    </row>
    <row r="6" spans="1:13" ht="21" x14ac:dyDescent="0.5">
      <c r="A6" s="4" t="s">
        <v>3</v>
      </c>
      <c r="B6" s="8">
        <f>K6</f>
        <v>2.1515</v>
      </c>
      <c r="C6" s="9">
        <f>B6*4</f>
        <v>8.6059999999999999</v>
      </c>
      <c r="F6" t="s">
        <v>16</v>
      </c>
      <c r="G6">
        <v>0.35</v>
      </c>
      <c r="H6">
        <v>6.48</v>
      </c>
      <c r="I6">
        <v>0.98</v>
      </c>
      <c r="J6" s="11">
        <f t="shared" si="1"/>
        <v>1.1715</v>
      </c>
      <c r="K6" s="15">
        <f t="shared" si="0"/>
        <v>2.1515</v>
      </c>
    </row>
    <row r="7" spans="1:13" ht="21" x14ac:dyDescent="0.5">
      <c r="A7" s="4"/>
      <c r="B7" s="5"/>
      <c r="C7" s="9"/>
      <c r="F7" t="s">
        <v>17</v>
      </c>
      <c r="G7">
        <v>7.0000000000000007E-2</v>
      </c>
      <c r="H7">
        <v>5.71</v>
      </c>
      <c r="I7">
        <v>0.72</v>
      </c>
      <c r="J7" s="11">
        <f t="shared" si="1"/>
        <v>0.97499999999999998</v>
      </c>
      <c r="K7" s="15">
        <f t="shared" si="0"/>
        <v>1.6949999999999998</v>
      </c>
    </row>
    <row r="8" spans="1:13" ht="21" x14ac:dyDescent="0.5">
      <c r="A8" s="4" t="s">
        <v>4</v>
      </c>
      <c r="B8" s="8">
        <f>K7</f>
        <v>1.6949999999999998</v>
      </c>
      <c r="C8" s="9">
        <f>B8*4</f>
        <v>6.7799999999999994</v>
      </c>
      <c r="F8" t="s">
        <v>18</v>
      </c>
      <c r="G8">
        <v>0.35</v>
      </c>
      <c r="H8">
        <v>6.22</v>
      </c>
      <c r="I8">
        <v>1.05</v>
      </c>
      <c r="J8" s="11">
        <f t="shared" si="1"/>
        <v>1.1429999999999998</v>
      </c>
      <c r="K8" s="15">
        <f t="shared" si="0"/>
        <v>2.1929999999999996</v>
      </c>
    </row>
    <row r="9" spans="1:13" ht="21" x14ac:dyDescent="0.5">
      <c r="A9" s="4"/>
      <c r="B9" s="5"/>
      <c r="C9" s="9"/>
      <c r="F9" t="s">
        <v>19</v>
      </c>
      <c r="G9">
        <v>0.16</v>
      </c>
      <c r="H9">
        <v>7.02</v>
      </c>
      <c r="I9">
        <v>1.59</v>
      </c>
      <c r="J9" s="11">
        <f t="shared" si="1"/>
        <v>1.3154999999999999</v>
      </c>
      <c r="K9" s="15">
        <f t="shared" si="0"/>
        <v>2.9055</v>
      </c>
    </row>
    <row r="10" spans="1:13" ht="21" x14ac:dyDescent="0.5">
      <c r="A10" s="4" t="s">
        <v>5</v>
      </c>
      <c r="B10" s="8">
        <f>K8</f>
        <v>2.1929999999999996</v>
      </c>
      <c r="C10" s="9">
        <f>B10*4</f>
        <v>8.7719999999999985</v>
      </c>
      <c r="F10" t="s">
        <v>20</v>
      </c>
      <c r="G10">
        <v>0.47</v>
      </c>
      <c r="H10">
        <v>7.37</v>
      </c>
      <c r="I10">
        <v>1.93</v>
      </c>
      <c r="J10" s="11">
        <f t="shared" si="1"/>
        <v>1.4654999999999998</v>
      </c>
      <c r="K10" s="16">
        <f t="shared" si="0"/>
        <v>3.3954999999999997</v>
      </c>
    </row>
    <row r="11" spans="1:13" ht="21" x14ac:dyDescent="0.5">
      <c r="A11" s="4"/>
      <c r="B11" s="5"/>
      <c r="C11" s="9"/>
      <c r="E11" s="17"/>
      <c r="F11" s="17"/>
      <c r="J11" s="17"/>
    </row>
    <row r="12" spans="1:13" ht="21" x14ac:dyDescent="0.5">
      <c r="A12" s="4" t="s">
        <v>6</v>
      </c>
      <c r="B12" s="8">
        <f>K9</f>
        <v>2.9055</v>
      </c>
      <c r="C12" s="9">
        <f>B12*4</f>
        <v>11.622</v>
      </c>
      <c r="E12" s="17"/>
      <c r="F12" s="17"/>
      <c r="J12" s="17"/>
    </row>
    <row r="13" spans="1:13" ht="21" x14ac:dyDescent="0.5">
      <c r="A13" s="4"/>
      <c r="B13" s="5"/>
      <c r="C13" s="9"/>
      <c r="J13" s="17"/>
    </row>
    <row r="14" spans="1:13" ht="21" x14ac:dyDescent="0.5">
      <c r="A14" s="4" t="s">
        <v>7</v>
      </c>
      <c r="B14" s="8">
        <f>K10</f>
        <v>3.3954999999999997</v>
      </c>
      <c r="C14" s="9">
        <f>B14*4</f>
        <v>13.581999999999999</v>
      </c>
    </row>
    <row r="15" spans="1:13" ht="21" x14ac:dyDescent="0.5">
      <c r="A15" s="4"/>
      <c r="B15" s="5"/>
      <c r="C15" s="9"/>
    </row>
    <row r="16" spans="1:13" ht="21" x14ac:dyDescent="0.5">
      <c r="A16" s="4" t="s">
        <v>8</v>
      </c>
      <c r="B16" s="8">
        <f>K4</f>
        <v>2.3499999999999996</v>
      </c>
      <c r="C16" s="9">
        <f>B16*4</f>
        <v>9.3999999999999986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66.265999999999991</v>
      </c>
    </row>
    <row r="19" spans="1:5" ht="21" x14ac:dyDescent="0.5">
      <c r="A19" s="4" t="s">
        <v>10</v>
      </c>
      <c r="B19" s="8"/>
      <c r="C19" s="9">
        <f>C18*250</f>
        <v>16566.499999999996</v>
      </c>
      <c r="D19" t="s">
        <v>11</v>
      </c>
    </row>
    <row r="20" spans="1:5" ht="21" x14ac:dyDescent="0.5">
      <c r="A20" s="4"/>
      <c r="B20" s="8"/>
      <c r="C20" s="18">
        <f>C19/1000</f>
        <v>16.566499999999998</v>
      </c>
      <c r="D20" t="s">
        <v>12</v>
      </c>
    </row>
    <row r="21" spans="1:5" ht="21" x14ac:dyDescent="0.5">
      <c r="A21" s="4" t="s">
        <v>31</v>
      </c>
      <c r="B21" s="26">
        <v>1.4</v>
      </c>
      <c r="C21" s="18">
        <f>C20*2.2</f>
        <v>36.446300000000001</v>
      </c>
      <c r="D21" t="s">
        <v>32</v>
      </c>
      <c r="E21">
        <f>C21/4</f>
        <v>9.1115750000000002</v>
      </c>
    </row>
    <row r="22" spans="1:5" ht="21" x14ac:dyDescent="0.5">
      <c r="A22" s="4" t="s">
        <v>13</v>
      </c>
      <c r="B22" s="8"/>
      <c r="C22" s="19">
        <f>C21*B21</f>
        <v>51.024819999999998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topLeftCell="A4" workbookViewId="0">
      <selection activeCell="G13" sqref="G13"/>
    </sheetView>
  </sheetViews>
  <sheetFormatPr baseColWidth="10" defaultRowHeight="14.5" x14ac:dyDescent="0.35"/>
  <cols>
    <col min="1" max="1" width="27.0898437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28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10.671999999999999</v>
      </c>
      <c r="C4" s="9">
        <f>B4*4</f>
        <v>42.687999999999995</v>
      </c>
      <c r="E4" t="s">
        <v>14</v>
      </c>
      <c r="F4" s="10">
        <v>7.58</v>
      </c>
      <c r="G4" s="11">
        <f>F4*15%</f>
        <v>1.137</v>
      </c>
      <c r="H4" s="12">
        <f>F4+G4</f>
        <v>8.7170000000000005</v>
      </c>
      <c r="J4" s="13"/>
      <c r="K4" s="13"/>
    </row>
    <row r="5" spans="1:11" ht="21" x14ac:dyDescent="0.5">
      <c r="A5" s="4"/>
      <c r="B5" s="5"/>
      <c r="C5" s="9"/>
      <c r="E5" t="s">
        <v>15</v>
      </c>
      <c r="F5" s="14">
        <v>9.2799999999999994</v>
      </c>
      <c r="G5" s="11">
        <f t="shared" ref="G5:G10" si="0">F5*15%</f>
        <v>1.3919999999999999</v>
      </c>
      <c r="H5" s="15">
        <f t="shared" ref="H5:H10" si="1">F5+G5</f>
        <v>10.671999999999999</v>
      </c>
    </row>
    <row r="6" spans="1:11" ht="21" x14ac:dyDescent="0.5">
      <c r="A6" s="4" t="s">
        <v>3</v>
      </c>
      <c r="B6" s="8">
        <f>H6</f>
        <v>12.006</v>
      </c>
      <c r="C6" s="9">
        <f>B6*4</f>
        <v>48.024000000000001</v>
      </c>
      <c r="E6" t="s">
        <v>16</v>
      </c>
      <c r="F6" s="14">
        <v>10.44</v>
      </c>
      <c r="G6" s="11">
        <f t="shared" si="0"/>
        <v>1.5659999999999998</v>
      </c>
      <c r="H6" s="15">
        <f t="shared" si="1"/>
        <v>12.006</v>
      </c>
    </row>
    <row r="7" spans="1:11" ht="21" x14ac:dyDescent="0.5">
      <c r="A7" s="4"/>
      <c r="B7" s="5"/>
      <c r="C7" s="9"/>
      <c r="E7" t="s">
        <v>17</v>
      </c>
      <c r="F7" s="14">
        <v>8.7899999999999991</v>
      </c>
      <c r="G7" s="11">
        <f t="shared" si="0"/>
        <v>1.3184999999999998</v>
      </c>
      <c r="H7" s="15">
        <f t="shared" si="1"/>
        <v>10.108499999999999</v>
      </c>
    </row>
    <row r="8" spans="1:11" ht="21" x14ac:dyDescent="0.5">
      <c r="A8" s="4" t="s">
        <v>4</v>
      </c>
      <c r="B8" s="8">
        <f>H7</f>
        <v>10.108499999999999</v>
      </c>
      <c r="C8" s="9">
        <f>B8*4</f>
        <v>40.433999999999997</v>
      </c>
      <c r="E8" t="s">
        <v>18</v>
      </c>
      <c r="F8" s="14">
        <v>9.74</v>
      </c>
      <c r="G8" s="11">
        <f t="shared" si="0"/>
        <v>1.4610000000000001</v>
      </c>
      <c r="H8" s="15">
        <f t="shared" si="1"/>
        <v>11.201000000000001</v>
      </c>
    </row>
    <row r="9" spans="1:11" ht="21" x14ac:dyDescent="0.5">
      <c r="A9" s="4"/>
      <c r="B9" s="5"/>
      <c r="C9" s="9"/>
      <c r="E9" t="s">
        <v>19</v>
      </c>
      <c r="F9" s="14">
        <v>9.49</v>
      </c>
      <c r="G9" s="11">
        <f t="shared" si="0"/>
        <v>1.4235</v>
      </c>
      <c r="H9" s="15">
        <f t="shared" si="1"/>
        <v>10.913500000000001</v>
      </c>
    </row>
    <row r="10" spans="1:11" ht="21" x14ac:dyDescent="0.5">
      <c r="A10" s="4" t="s">
        <v>5</v>
      </c>
      <c r="B10" s="8">
        <f>H8</f>
        <v>11.201000000000001</v>
      </c>
      <c r="C10" s="9">
        <f>B10*4</f>
        <v>44.804000000000002</v>
      </c>
      <c r="E10" t="s">
        <v>20</v>
      </c>
      <c r="F10" s="14">
        <v>13.22</v>
      </c>
      <c r="G10" s="11">
        <f t="shared" si="0"/>
        <v>1.9830000000000001</v>
      </c>
      <c r="H10" s="16">
        <f t="shared" si="1"/>
        <v>15.203000000000001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10.913500000000001</v>
      </c>
      <c r="C12" s="9">
        <f>B12*4</f>
        <v>43.654000000000003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15.203000000000001</v>
      </c>
      <c r="C14" s="9">
        <f>B14*4</f>
        <v>60.812000000000005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8.7170000000000005</v>
      </c>
      <c r="C16" s="9">
        <f>B16*4</f>
        <v>34.868000000000002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21">
        <f>SUM(B4:B16)</f>
        <v>78.820999999999998</v>
      </c>
      <c r="C18" s="22">
        <f>SUM(C4:C16)</f>
        <v>315.28399999999999</v>
      </c>
    </row>
    <row r="19" spans="1:6" ht="21" x14ac:dyDescent="0.5">
      <c r="A19" s="20"/>
      <c r="B19" s="3"/>
      <c r="C19" s="9"/>
      <c r="E19" s="3" t="s">
        <v>24</v>
      </c>
      <c r="F19" s="3">
        <v>1</v>
      </c>
    </row>
    <row r="20" spans="1:6" ht="21" x14ac:dyDescent="0.5">
      <c r="A20" s="4" t="s">
        <v>13</v>
      </c>
      <c r="B20" s="23"/>
      <c r="C20" s="24">
        <f>C18*F20</f>
        <v>157.642</v>
      </c>
      <c r="E20" s="3" t="s">
        <v>23</v>
      </c>
      <c r="F20" s="25">
        <v>0.5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tabSelected="1" topLeftCell="A7" workbookViewId="0">
      <selection activeCell="F15" sqref="F15"/>
    </sheetView>
  </sheetViews>
  <sheetFormatPr baseColWidth="10" defaultRowHeight="14.5" x14ac:dyDescent="0.35"/>
  <cols>
    <col min="1" max="1" width="27.0898437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28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6.0030000000000001</v>
      </c>
      <c r="C4" s="9">
        <f>B4*4</f>
        <v>24.012</v>
      </c>
      <c r="E4" t="s">
        <v>14</v>
      </c>
      <c r="F4" s="10">
        <v>3.47</v>
      </c>
      <c r="G4" s="11">
        <f>F4*15%</f>
        <v>0.52049999999999996</v>
      </c>
      <c r="H4" s="12">
        <f>F4+G4</f>
        <v>3.9904999999999999</v>
      </c>
      <c r="J4" s="13"/>
      <c r="K4" s="13"/>
    </row>
    <row r="5" spans="1:11" ht="21" x14ac:dyDescent="0.5">
      <c r="A5" s="4"/>
      <c r="B5" s="5"/>
      <c r="C5" s="9"/>
      <c r="E5" t="s">
        <v>15</v>
      </c>
      <c r="F5" s="14">
        <v>5.22</v>
      </c>
      <c r="G5" s="11">
        <f t="shared" ref="G5:G10" si="0">F5*15%</f>
        <v>0.78299999999999992</v>
      </c>
      <c r="H5" s="15">
        <f t="shared" ref="H5:H10" si="1">F5+G5</f>
        <v>6.0030000000000001</v>
      </c>
    </row>
    <row r="6" spans="1:11" ht="21" x14ac:dyDescent="0.5">
      <c r="A6" s="4" t="s">
        <v>3</v>
      </c>
      <c r="B6" s="8">
        <f>H6</f>
        <v>5.7154999999999996</v>
      </c>
      <c r="C6" s="9">
        <f>B6*4</f>
        <v>22.861999999999998</v>
      </c>
      <c r="E6" t="s">
        <v>16</v>
      </c>
      <c r="F6" s="14">
        <v>4.97</v>
      </c>
      <c r="G6" s="11">
        <f t="shared" si="0"/>
        <v>0.74549999999999994</v>
      </c>
      <c r="H6" s="15">
        <f t="shared" si="1"/>
        <v>5.7154999999999996</v>
      </c>
    </row>
    <row r="7" spans="1:11" ht="21" x14ac:dyDescent="0.5">
      <c r="A7" s="4"/>
      <c r="B7" s="5"/>
      <c r="C7" s="9"/>
      <c r="E7" t="s">
        <v>17</v>
      </c>
      <c r="F7" s="14">
        <v>4.76</v>
      </c>
      <c r="G7" s="11">
        <f t="shared" si="0"/>
        <v>0.71399999999999997</v>
      </c>
      <c r="H7" s="15">
        <f t="shared" si="1"/>
        <v>5.4740000000000002</v>
      </c>
    </row>
    <row r="8" spans="1:11" ht="21" x14ac:dyDescent="0.5">
      <c r="A8" s="4" t="s">
        <v>4</v>
      </c>
      <c r="B8" s="8">
        <f>H7</f>
        <v>5.4740000000000002</v>
      </c>
      <c r="C8" s="9">
        <f>B8*4</f>
        <v>21.896000000000001</v>
      </c>
      <c r="E8" t="s">
        <v>18</v>
      </c>
      <c r="F8" s="14">
        <v>4.03</v>
      </c>
      <c r="G8" s="11">
        <f t="shared" si="0"/>
        <v>0.60450000000000004</v>
      </c>
      <c r="H8" s="15">
        <f t="shared" si="1"/>
        <v>4.6345000000000001</v>
      </c>
    </row>
    <row r="9" spans="1:11" ht="21" x14ac:dyDescent="0.5">
      <c r="A9" s="4"/>
      <c r="B9" s="5"/>
      <c r="C9" s="9"/>
      <c r="E9" t="s">
        <v>19</v>
      </c>
      <c r="F9" s="14">
        <v>4.3099999999999996</v>
      </c>
      <c r="G9" s="11">
        <f t="shared" si="0"/>
        <v>0.64649999999999996</v>
      </c>
      <c r="H9" s="15">
        <f t="shared" si="1"/>
        <v>4.9564999999999992</v>
      </c>
    </row>
    <row r="10" spans="1:11" ht="21" x14ac:dyDescent="0.5">
      <c r="A10" s="4" t="s">
        <v>5</v>
      </c>
      <c r="B10" s="8">
        <f>H8</f>
        <v>4.6345000000000001</v>
      </c>
      <c r="C10" s="9">
        <f>B10*4</f>
        <v>18.538</v>
      </c>
      <c r="E10" t="s">
        <v>20</v>
      </c>
      <c r="F10" s="14">
        <v>5.08</v>
      </c>
      <c r="G10" s="11">
        <f t="shared" si="0"/>
        <v>0.76200000000000001</v>
      </c>
      <c r="H10" s="16">
        <f t="shared" si="1"/>
        <v>5.8420000000000005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4.9564999999999992</v>
      </c>
      <c r="C12" s="9">
        <f>B12*4</f>
        <v>19.825999999999997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5.8420000000000005</v>
      </c>
      <c r="C14" s="9">
        <f>B14*4</f>
        <v>23.368000000000002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3.9904999999999999</v>
      </c>
      <c r="C16" s="9">
        <f>B16*4</f>
        <v>15.962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21">
        <f>SUM(B4:B16)</f>
        <v>36.615999999999993</v>
      </c>
      <c r="C18" s="22">
        <f>SUM(C4:C16)</f>
        <v>146.46399999999997</v>
      </c>
    </row>
    <row r="19" spans="1:6" ht="21" x14ac:dyDescent="0.5">
      <c r="A19" s="20" t="s">
        <v>22</v>
      </c>
      <c r="B19" s="3"/>
      <c r="C19" s="9">
        <f>C18/F19</f>
        <v>14.646399999999996</v>
      </c>
      <c r="E19" s="3" t="s">
        <v>24</v>
      </c>
      <c r="F19" s="3">
        <v>10</v>
      </c>
    </row>
    <row r="20" spans="1:6" ht="21" x14ac:dyDescent="0.5">
      <c r="A20" s="4" t="s">
        <v>13</v>
      </c>
      <c r="B20" s="23"/>
      <c r="C20" s="24">
        <f>C19*F20</f>
        <v>60.782559999999989</v>
      </c>
      <c r="E20" s="3" t="s">
        <v>23</v>
      </c>
      <c r="F20" s="25">
        <v>4.1500000000000004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"/>
  <sheetViews>
    <sheetView topLeftCell="A4" workbookViewId="0">
      <selection activeCell="B19" sqref="B19"/>
    </sheetView>
  </sheetViews>
  <sheetFormatPr baseColWidth="10" defaultRowHeight="14.5" x14ac:dyDescent="0.35"/>
  <cols>
    <col min="1" max="1" width="27.0898437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28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16.249500000000001</v>
      </c>
      <c r="C4" s="9">
        <f>B4*4</f>
        <v>64.998000000000005</v>
      </c>
      <c r="E4" t="s">
        <v>14</v>
      </c>
      <c r="F4" s="10">
        <v>11.28</v>
      </c>
      <c r="G4" s="11">
        <f>F4*15%</f>
        <v>1.6919999999999999</v>
      </c>
      <c r="H4" s="12">
        <f>F4+G4</f>
        <v>12.972</v>
      </c>
      <c r="J4" s="13"/>
      <c r="K4" s="13"/>
    </row>
    <row r="5" spans="1:11" ht="21" x14ac:dyDescent="0.5">
      <c r="A5" s="4"/>
      <c r="B5" s="5"/>
      <c r="C5" s="9"/>
      <c r="E5" t="s">
        <v>15</v>
      </c>
      <c r="F5" s="14">
        <v>14.13</v>
      </c>
      <c r="G5" s="11">
        <f t="shared" ref="G5:G10" si="0">F5*15%</f>
        <v>2.1194999999999999</v>
      </c>
      <c r="H5" s="15">
        <f t="shared" ref="H5:H10" si="1">F5+G5</f>
        <v>16.249500000000001</v>
      </c>
    </row>
    <row r="6" spans="1:11" ht="21" x14ac:dyDescent="0.5">
      <c r="A6" s="4" t="s">
        <v>3</v>
      </c>
      <c r="B6" s="8">
        <f>H6</f>
        <v>12.6845</v>
      </c>
      <c r="C6" s="9">
        <f>B6*4</f>
        <v>50.738</v>
      </c>
      <c r="E6" t="s">
        <v>16</v>
      </c>
      <c r="F6" s="14">
        <v>11.03</v>
      </c>
      <c r="G6" s="11">
        <f t="shared" si="0"/>
        <v>1.6544999999999999</v>
      </c>
      <c r="H6" s="15">
        <f t="shared" si="1"/>
        <v>12.6845</v>
      </c>
    </row>
    <row r="7" spans="1:11" ht="21" x14ac:dyDescent="0.5">
      <c r="A7" s="4"/>
      <c r="B7" s="5"/>
      <c r="C7" s="9"/>
      <c r="E7" t="s">
        <v>17</v>
      </c>
      <c r="F7" s="14">
        <v>10.51</v>
      </c>
      <c r="G7" s="11">
        <f t="shared" si="0"/>
        <v>1.5765</v>
      </c>
      <c r="H7" s="15">
        <f t="shared" si="1"/>
        <v>12.086499999999999</v>
      </c>
    </row>
    <row r="8" spans="1:11" ht="21" x14ac:dyDescent="0.5">
      <c r="A8" s="4" t="s">
        <v>4</v>
      </c>
      <c r="B8" s="8">
        <f>H7</f>
        <v>12.086499999999999</v>
      </c>
      <c r="C8" s="9">
        <f>B8*4</f>
        <v>48.345999999999997</v>
      </c>
      <c r="E8" t="s">
        <v>18</v>
      </c>
      <c r="F8" s="14">
        <v>12.1</v>
      </c>
      <c r="G8" s="11">
        <f t="shared" si="0"/>
        <v>1.8149999999999999</v>
      </c>
      <c r="H8" s="15">
        <f t="shared" si="1"/>
        <v>13.914999999999999</v>
      </c>
    </row>
    <row r="9" spans="1:11" ht="21" x14ac:dyDescent="0.5">
      <c r="A9" s="4"/>
      <c r="B9" s="5"/>
      <c r="C9" s="9"/>
      <c r="E9" t="s">
        <v>19</v>
      </c>
      <c r="F9" s="14">
        <v>14.36</v>
      </c>
      <c r="G9" s="11">
        <f t="shared" si="0"/>
        <v>2.1539999999999999</v>
      </c>
      <c r="H9" s="15">
        <f t="shared" si="1"/>
        <v>16.513999999999999</v>
      </c>
    </row>
    <row r="10" spans="1:11" ht="21" x14ac:dyDescent="0.5">
      <c r="A10" s="4" t="s">
        <v>5</v>
      </c>
      <c r="B10" s="8">
        <f>H8</f>
        <v>13.914999999999999</v>
      </c>
      <c r="C10" s="9">
        <f>B10*4</f>
        <v>55.66</v>
      </c>
      <c r="E10" t="s">
        <v>20</v>
      </c>
      <c r="F10" s="14">
        <v>14.22</v>
      </c>
      <c r="G10" s="11">
        <f t="shared" si="0"/>
        <v>2.133</v>
      </c>
      <c r="H10" s="16">
        <f t="shared" si="1"/>
        <v>16.353000000000002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16.513999999999999</v>
      </c>
      <c r="C12" s="9">
        <f>B12*4</f>
        <v>66.055999999999997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16.353000000000002</v>
      </c>
      <c r="C14" s="9">
        <f>B14*4</f>
        <v>65.412000000000006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12.972</v>
      </c>
      <c r="C16" s="9">
        <f>B16*4</f>
        <v>51.887999999999998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21"/>
      <c r="C18" s="22">
        <f>SUM(C4:C16)</f>
        <v>403.09800000000001</v>
      </c>
    </row>
    <row r="19" spans="1:6" ht="21" x14ac:dyDescent="0.5">
      <c r="A19" s="20" t="s">
        <v>22</v>
      </c>
      <c r="B19" s="31">
        <f>C19/4</f>
        <v>10.077450000000001</v>
      </c>
      <c r="C19" s="9">
        <f>C18/F19</f>
        <v>40.309800000000003</v>
      </c>
      <c r="E19" s="3" t="s">
        <v>24</v>
      </c>
      <c r="F19" s="3">
        <v>10</v>
      </c>
    </row>
    <row r="20" spans="1:6" ht="21" x14ac:dyDescent="0.5">
      <c r="A20" s="4" t="s">
        <v>13</v>
      </c>
      <c r="B20" s="23"/>
      <c r="C20" s="24">
        <f>C19*F20</f>
        <v>52.402740000000009</v>
      </c>
      <c r="E20" s="3" t="s">
        <v>23</v>
      </c>
      <c r="F20" s="25">
        <v>1.3</v>
      </c>
    </row>
    <row r="21" spans="1:6" ht="21" x14ac:dyDescent="0.5">
      <c r="A21" s="2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"/>
  <sheetViews>
    <sheetView topLeftCell="A7" workbookViewId="0">
      <selection activeCell="B19" sqref="B19"/>
    </sheetView>
  </sheetViews>
  <sheetFormatPr baseColWidth="10" defaultRowHeight="14.5" x14ac:dyDescent="0.35"/>
  <cols>
    <col min="1" max="1" width="27.0898437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28</v>
      </c>
      <c r="C2" s="6"/>
      <c r="E2" t="s">
        <v>40</v>
      </c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6.1064999999999996</v>
      </c>
      <c r="C4" s="9">
        <f>B4*4</f>
        <v>24.425999999999998</v>
      </c>
      <c r="E4" t="s">
        <v>14</v>
      </c>
      <c r="F4" s="10">
        <v>4.1500000000000004</v>
      </c>
      <c r="G4" s="11">
        <f>F4*15%</f>
        <v>0.62250000000000005</v>
      </c>
      <c r="H4" s="12">
        <f>F4+G4</f>
        <v>4.7725000000000009</v>
      </c>
      <c r="J4" s="13"/>
      <c r="K4" s="13"/>
    </row>
    <row r="5" spans="1:11" ht="21" x14ac:dyDescent="0.5">
      <c r="A5" s="4"/>
      <c r="B5" s="5"/>
      <c r="C5" s="9"/>
      <c r="E5" t="s">
        <v>15</v>
      </c>
      <c r="F5" s="14">
        <v>5.31</v>
      </c>
      <c r="G5" s="11">
        <f t="shared" ref="G5:G10" si="0">F5*15%</f>
        <v>0.79649999999999987</v>
      </c>
      <c r="H5" s="15">
        <f t="shared" ref="H5:H10" si="1">F5+G5</f>
        <v>6.1064999999999996</v>
      </c>
    </row>
    <row r="6" spans="1:11" ht="21" x14ac:dyDescent="0.5">
      <c r="A6" s="4" t="s">
        <v>3</v>
      </c>
      <c r="B6" s="8">
        <f>H6</f>
        <v>5.98</v>
      </c>
      <c r="C6" s="9">
        <f>B6*4</f>
        <v>23.92</v>
      </c>
      <c r="E6" t="s">
        <v>16</v>
      </c>
      <c r="F6" s="14">
        <v>5.2</v>
      </c>
      <c r="G6" s="11">
        <f t="shared" si="0"/>
        <v>0.78</v>
      </c>
      <c r="H6" s="15">
        <f t="shared" si="1"/>
        <v>5.98</v>
      </c>
    </row>
    <row r="7" spans="1:11" ht="21" x14ac:dyDescent="0.5">
      <c r="A7" s="4"/>
      <c r="B7" s="5"/>
      <c r="C7" s="9"/>
      <c r="E7" t="s">
        <v>17</v>
      </c>
      <c r="F7" s="14">
        <v>4.62</v>
      </c>
      <c r="G7" s="11">
        <f t="shared" si="0"/>
        <v>0.69299999999999995</v>
      </c>
      <c r="H7" s="15">
        <f t="shared" si="1"/>
        <v>5.3129999999999997</v>
      </c>
    </row>
    <row r="8" spans="1:11" ht="21" x14ac:dyDescent="0.5">
      <c r="A8" s="4" t="s">
        <v>4</v>
      </c>
      <c r="B8" s="8">
        <f>H7</f>
        <v>5.3129999999999997</v>
      </c>
      <c r="C8" s="9">
        <f>B8*4</f>
        <v>21.251999999999999</v>
      </c>
      <c r="E8" t="s">
        <v>18</v>
      </c>
      <c r="F8" s="14">
        <v>5.34</v>
      </c>
      <c r="G8" s="11">
        <f t="shared" si="0"/>
        <v>0.80099999999999993</v>
      </c>
      <c r="H8" s="15">
        <f t="shared" si="1"/>
        <v>6.141</v>
      </c>
    </row>
    <row r="9" spans="1:11" ht="21" x14ac:dyDescent="0.5">
      <c r="A9" s="4"/>
      <c r="B9" s="5"/>
      <c r="C9" s="9"/>
      <c r="E9" t="s">
        <v>19</v>
      </c>
      <c r="F9" s="14">
        <v>6.5</v>
      </c>
      <c r="G9" s="11">
        <f t="shared" si="0"/>
        <v>0.97499999999999998</v>
      </c>
      <c r="H9" s="15">
        <f t="shared" si="1"/>
        <v>7.4749999999999996</v>
      </c>
    </row>
    <row r="10" spans="1:11" ht="21" x14ac:dyDescent="0.5">
      <c r="A10" s="4" t="s">
        <v>5</v>
      </c>
      <c r="B10" s="8">
        <f>H8</f>
        <v>6.141</v>
      </c>
      <c r="C10" s="9">
        <f>B10*4</f>
        <v>24.564</v>
      </c>
      <c r="E10" t="s">
        <v>20</v>
      </c>
      <c r="F10" s="14">
        <v>6.29</v>
      </c>
      <c r="G10" s="11">
        <f t="shared" si="0"/>
        <v>0.94350000000000001</v>
      </c>
      <c r="H10" s="16">
        <f t="shared" si="1"/>
        <v>7.2335000000000003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7.4749999999999996</v>
      </c>
      <c r="C12" s="9">
        <f>B12*4</f>
        <v>29.9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7.2335000000000003</v>
      </c>
      <c r="C14" s="9">
        <f>B14*4</f>
        <v>28.934000000000001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4.7725000000000009</v>
      </c>
      <c r="C16" s="9">
        <f>B16*4</f>
        <v>19.090000000000003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21"/>
      <c r="C18" s="22">
        <f>SUM(C4:C16)</f>
        <v>172.08600000000001</v>
      </c>
    </row>
    <row r="19" spans="1:6" ht="21" x14ac:dyDescent="0.5">
      <c r="A19" s="20" t="s">
        <v>22</v>
      </c>
      <c r="B19" s="3">
        <f>C19/4</f>
        <v>6.1459285714285716</v>
      </c>
      <c r="C19" s="9">
        <f>C18/F19</f>
        <v>24.583714285714287</v>
      </c>
      <c r="E19" s="3" t="s">
        <v>24</v>
      </c>
      <c r="F19" s="3">
        <v>7</v>
      </c>
    </row>
    <row r="20" spans="1:6" ht="21" x14ac:dyDescent="0.5">
      <c r="A20" s="4" t="s">
        <v>13</v>
      </c>
      <c r="B20" s="23"/>
      <c r="C20" s="24">
        <f>C19*F20</f>
        <v>41.792314285714284</v>
      </c>
      <c r="E20" s="3" t="s">
        <v>23</v>
      </c>
      <c r="F20" s="25">
        <v>1.7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"/>
  <sheetViews>
    <sheetView topLeftCell="A13" workbookViewId="0">
      <selection activeCell="G14" sqref="G14"/>
    </sheetView>
  </sheetViews>
  <sheetFormatPr baseColWidth="10" defaultRowHeight="14.5" x14ac:dyDescent="0.35"/>
  <cols>
    <col min="1" max="1" width="27.0898437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28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0</v>
      </c>
      <c r="C4" s="9">
        <f>B4*4</f>
        <v>0</v>
      </c>
      <c r="E4" t="s">
        <v>14</v>
      </c>
      <c r="F4" s="10"/>
      <c r="G4" s="11">
        <f>F4*15%</f>
        <v>0</v>
      </c>
      <c r="H4" s="12">
        <f>F4+G4</f>
        <v>0</v>
      </c>
      <c r="J4" s="13"/>
      <c r="K4" s="13"/>
    </row>
    <row r="5" spans="1:11" ht="21" x14ac:dyDescent="0.5">
      <c r="A5" s="4"/>
      <c r="B5" s="5"/>
      <c r="C5" s="9"/>
      <c r="E5" t="s">
        <v>15</v>
      </c>
      <c r="F5" s="14"/>
      <c r="G5" s="11">
        <f t="shared" ref="G5:G10" si="0">F5*15%</f>
        <v>0</v>
      </c>
      <c r="H5" s="15">
        <f t="shared" ref="H5:H10" si="1">F5+G5</f>
        <v>0</v>
      </c>
    </row>
    <row r="6" spans="1:11" ht="21" x14ac:dyDescent="0.5">
      <c r="A6" s="4" t="s">
        <v>3</v>
      </c>
      <c r="B6" s="8">
        <f>H6</f>
        <v>0</v>
      </c>
      <c r="C6" s="9">
        <f>B6*4</f>
        <v>0</v>
      </c>
      <c r="E6" t="s">
        <v>16</v>
      </c>
      <c r="F6" s="14"/>
      <c r="G6" s="11">
        <f t="shared" si="0"/>
        <v>0</v>
      </c>
      <c r="H6" s="15">
        <f t="shared" si="1"/>
        <v>0</v>
      </c>
    </row>
    <row r="7" spans="1:11" ht="21" x14ac:dyDescent="0.5">
      <c r="A7" s="4"/>
      <c r="B7" s="5"/>
      <c r="C7" s="9"/>
      <c r="E7" t="s">
        <v>17</v>
      </c>
      <c r="F7" s="14"/>
      <c r="G7" s="11">
        <f t="shared" si="0"/>
        <v>0</v>
      </c>
      <c r="H7" s="15">
        <f t="shared" si="1"/>
        <v>0</v>
      </c>
    </row>
    <row r="8" spans="1:11" ht="21" x14ac:dyDescent="0.5">
      <c r="A8" s="4" t="s">
        <v>4</v>
      </c>
      <c r="B8" s="8">
        <f>H7</f>
        <v>0</v>
      </c>
      <c r="C8" s="9">
        <f>B8*4</f>
        <v>0</v>
      </c>
      <c r="E8" t="s">
        <v>18</v>
      </c>
      <c r="F8" s="14"/>
      <c r="G8" s="11">
        <f t="shared" si="0"/>
        <v>0</v>
      </c>
      <c r="H8" s="15">
        <f t="shared" si="1"/>
        <v>0</v>
      </c>
    </row>
    <row r="9" spans="1:11" ht="21" x14ac:dyDescent="0.5">
      <c r="A9" s="4"/>
      <c r="B9" s="5"/>
      <c r="C9" s="9"/>
      <c r="E9" t="s">
        <v>19</v>
      </c>
      <c r="F9" s="14"/>
      <c r="G9" s="11">
        <f t="shared" si="0"/>
        <v>0</v>
      </c>
      <c r="H9" s="15">
        <f t="shared" si="1"/>
        <v>0</v>
      </c>
    </row>
    <row r="10" spans="1:11" ht="21" x14ac:dyDescent="0.5">
      <c r="A10" s="4" t="s">
        <v>5</v>
      </c>
      <c r="B10" s="8">
        <f>H8</f>
        <v>0</v>
      </c>
      <c r="C10" s="9">
        <f>B10*4</f>
        <v>0</v>
      </c>
      <c r="E10" t="s">
        <v>20</v>
      </c>
      <c r="F10" s="14"/>
      <c r="G10" s="11">
        <f t="shared" si="0"/>
        <v>0</v>
      </c>
      <c r="H10" s="16">
        <f t="shared" si="1"/>
        <v>0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0</v>
      </c>
      <c r="C12" s="9">
        <f>B12*4</f>
        <v>0</v>
      </c>
      <c r="E12" s="17"/>
      <c r="H12" s="17"/>
    </row>
    <row r="13" spans="1:11" ht="21" x14ac:dyDescent="0.5">
      <c r="A13" s="4"/>
      <c r="B13" s="5"/>
      <c r="C13" s="9"/>
      <c r="F13" t="s">
        <v>38</v>
      </c>
      <c r="H13" s="17"/>
    </row>
    <row r="14" spans="1:11" ht="21" x14ac:dyDescent="0.5">
      <c r="A14" s="4" t="s">
        <v>7</v>
      </c>
      <c r="B14" s="8">
        <f>H10</f>
        <v>0</v>
      </c>
      <c r="C14" s="9">
        <f>B14*4</f>
        <v>0</v>
      </c>
      <c r="G14" t="s">
        <v>41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0</v>
      </c>
      <c r="C16" s="9">
        <f>B16*4</f>
        <v>0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21"/>
      <c r="C18" s="22">
        <f>SUM(C4:C16)</f>
        <v>0</v>
      </c>
    </row>
    <row r="19" spans="1:6" ht="21" x14ac:dyDescent="0.5">
      <c r="A19" s="20"/>
      <c r="B19" s="3"/>
      <c r="C19" s="9"/>
      <c r="E19" s="3" t="s">
        <v>24</v>
      </c>
      <c r="F19" s="3">
        <v>1</v>
      </c>
    </row>
    <row r="20" spans="1:6" ht="21" x14ac:dyDescent="0.5">
      <c r="A20" s="4" t="s">
        <v>13</v>
      </c>
      <c r="B20" s="23"/>
      <c r="C20" s="24">
        <f>C18*F20</f>
        <v>0</v>
      </c>
      <c r="E20" s="3" t="s">
        <v>23</v>
      </c>
      <c r="F20" s="25">
        <v>1.25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ALMOJABANO</vt:lpstr>
      <vt:lpstr>HIGADO</vt:lpstr>
      <vt:lpstr>COSTILLA FRITA</vt:lpstr>
      <vt:lpstr>BOFE</vt:lpstr>
      <vt:lpstr>SALCHICHA GUI</vt:lpstr>
      <vt:lpstr>BOLLO</vt:lpstr>
      <vt:lpstr>CARIMAÑOLA</vt:lpstr>
      <vt:lpstr>TORTILLA</vt:lpstr>
      <vt:lpstr>EMP DE MAIZ</vt:lpstr>
      <vt:lpstr>CHORIZO TABLEÑO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Italos restaurante</dc:creator>
  <cp:lastModifiedBy>Edwin Pilisi</cp:lastModifiedBy>
  <dcterms:created xsi:type="dcterms:W3CDTF">2023-11-24T20:18:11Z</dcterms:created>
  <dcterms:modified xsi:type="dcterms:W3CDTF">2025-10-30T14:28:54Z</dcterms:modified>
</cp:coreProperties>
</file>