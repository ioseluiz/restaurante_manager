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ITALOS ADMINISTRACION\PRESUPUESTO NOVIEMBRE 2025 001\"/>
    </mc:Choice>
  </mc:AlternateContent>
  <xr:revisionPtr revIDLastSave="0" documentId="8_{DEED2264-6767-4F9F-AA92-998583E1AD48}" xr6:coauthVersionLast="47" xr6:coauthVersionMax="47" xr10:uidLastSave="{00000000-0000-0000-0000-000000000000}"/>
  <bookViews>
    <workbookView xWindow="-120" yWindow="-120" windowWidth="20730" windowHeight="11160" activeTab="1" xr2:uid="{CDAA93B0-5068-4462-9171-853D4E33587D}"/>
  </bookViews>
  <sheets>
    <sheet name="Hoja1" sheetId="1" r:id="rId1"/>
    <sheet name="Hoja2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3" i="2" l="1"/>
  <c r="C4" i="2"/>
  <c r="C3" i="2" l="1"/>
  <c r="B3" i="2"/>
  <c r="D4" i="2"/>
  <c r="A7" i="2" s="1"/>
  <c r="C18" i="2" s="1"/>
  <c r="D2" i="2"/>
  <c r="B16" i="2" l="1"/>
  <c r="D3" i="2"/>
  <c r="B17" i="2" s="1"/>
  <c r="D6" i="2"/>
  <c r="G6" i="2" s="1"/>
  <c r="C17" i="2" s="1"/>
  <c r="H14" i="1" l="1"/>
  <c r="G14" i="1"/>
  <c r="F14" i="1"/>
  <c r="N12" i="1"/>
  <c r="M12" i="1"/>
  <c r="L12" i="1"/>
  <c r="I5" i="1"/>
  <c r="H5" i="1"/>
  <c r="G5" i="1"/>
</calcChain>
</file>

<file path=xl/sharedStrings.xml><?xml version="1.0" encoding="utf-8"?>
<sst xmlns="http://schemas.openxmlformats.org/spreadsheetml/2006/main" count="15" uniqueCount="13">
  <si>
    <t xml:space="preserve">cuenta de ahorro </t>
  </si>
  <si>
    <t xml:space="preserve">cuenta de flujo (caja de Ahorro) </t>
  </si>
  <si>
    <t xml:space="preserve">dinero actual </t>
  </si>
  <si>
    <t>total</t>
  </si>
  <si>
    <t xml:space="preserve">en transito </t>
  </si>
  <si>
    <t>cuenta corriente (banistmo</t>
  </si>
  <si>
    <t>depositas</t>
  </si>
  <si>
    <t xml:space="preserve">DESDE </t>
  </si>
  <si>
    <t xml:space="preserve">BANISTMO </t>
  </si>
  <si>
    <t>movimientos</t>
  </si>
  <si>
    <t xml:space="preserve">en la cuenta </t>
  </si>
  <si>
    <t>caja de ahorro</t>
  </si>
  <si>
    <t>presupuesto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</si>
</sst>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B/.&quot;* #,##0.00_-;\-&quot;B/.&quot;* #,##0.00_-;_-&quot;B/.&quot;* &quot;-&quot;??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4">
    <xf numFmtId="0" fontId="0" fillId="0" borderId="0" xfId="0"/>
    <xf numFmtId="44" fontId="0" fillId="0" borderId="0" xfId="1" applyFont="1"/>
    <xf numFmtId="0" fontId="0" fillId="0" borderId="0" xfId="0" applyAlignment="1">
      <alignment horizontal="center"/>
    </xf>
    <xf numFmtId="44" fontId="0" fillId="0" borderId="0" xfId="0" applyNumberFormat="1"/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C63218-8891-417C-9BA9-E868CFE51A7B}">
  <dimension ref="E5:N20"/>
  <sheetViews>
    <sheetView workbookViewId="0">
      <selection activeCell="H16" sqref="H16"/>
    </sheetView>
  </sheetViews>
  <sheetFormatPr baseColWidth="10" defaultRowHeight="15" x14ac:dyDescent="0.25"/>
  <sheetData>
    <row r="5" spans="5:14" x14ac:dyDescent="0.25">
      <c r="F5">
        <v>10.24</v>
      </c>
      <c r="G5">
        <f>SUM(F5:F11)</f>
        <v>78.430000000000007</v>
      </c>
      <c r="H5">
        <f>G5*4</f>
        <v>313.72000000000003</v>
      </c>
      <c r="I5">
        <f>H5/24</f>
        <v>13.071666666666667</v>
      </c>
    </row>
    <row r="6" spans="5:14" x14ac:dyDescent="0.25">
      <c r="F6">
        <v>9.5399999999999991</v>
      </c>
    </row>
    <row r="7" spans="5:14" x14ac:dyDescent="0.25">
      <c r="F7">
        <v>10.83</v>
      </c>
    </row>
    <row r="8" spans="5:14" x14ac:dyDescent="0.25">
      <c r="F8">
        <v>10.02</v>
      </c>
    </row>
    <row r="9" spans="5:14" x14ac:dyDescent="0.25">
      <c r="F9">
        <v>10.73</v>
      </c>
    </row>
    <row r="10" spans="5:14" x14ac:dyDescent="0.25">
      <c r="F10">
        <v>10.78</v>
      </c>
    </row>
    <row r="11" spans="5:14" x14ac:dyDescent="0.25">
      <c r="F11">
        <v>16.29</v>
      </c>
    </row>
    <row r="12" spans="5:14" x14ac:dyDescent="0.25">
      <c r="J12">
        <v>1.62</v>
      </c>
      <c r="K12">
        <v>6.73</v>
      </c>
      <c r="L12">
        <f>SUM(J12:K18)</f>
        <v>30.88</v>
      </c>
      <c r="M12">
        <f>L12*4</f>
        <v>123.52</v>
      </c>
      <c r="N12">
        <f>M12/12</f>
        <v>10.293333333333333</v>
      </c>
    </row>
    <row r="13" spans="5:14" x14ac:dyDescent="0.25">
      <c r="J13">
        <v>0.56999999999999995</v>
      </c>
      <c r="K13">
        <v>2.2400000000000002</v>
      </c>
    </row>
    <row r="14" spans="5:14" x14ac:dyDescent="0.25">
      <c r="E14">
        <v>1.27</v>
      </c>
      <c r="F14">
        <f>SUM(E14:E20)</f>
        <v>9.370000000000001</v>
      </c>
      <c r="G14">
        <f>F14*4</f>
        <v>37.480000000000004</v>
      </c>
      <c r="H14">
        <f>G14/24</f>
        <v>1.5616666666666668</v>
      </c>
      <c r="J14">
        <v>0.49</v>
      </c>
      <c r="K14">
        <v>1.81</v>
      </c>
    </row>
    <row r="15" spans="5:14" x14ac:dyDescent="0.25">
      <c r="E15">
        <v>1.08</v>
      </c>
      <c r="J15">
        <v>0.41</v>
      </c>
      <c r="K15">
        <v>2.0499999999999998</v>
      </c>
    </row>
    <row r="16" spans="5:14" x14ac:dyDescent="0.25">
      <c r="E16">
        <v>1.05</v>
      </c>
      <c r="J16">
        <v>0.62</v>
      </c>
      <c r="K16">
        <v>2.2400000000000002</v>
      </c>
    </row>
    <row r="17" spans="5:11" x14ac:dyDescent="0.25">
      <c r="E17">
        <v>1.46</v>
      </c>
      <c r="J17">
        <v>0.81</v>
      </c>
      <c r="K17">
        <v>2.57</v>
      </c>
    </row>
    <row r="18" spans="5:11" x14ac:dyDescent="0.25">
      <c r="E18">
        <v>1.32</v>
      </c>
      <c r="J18">
        <v>1.1299999999999999</v>
      </c>
      <c r="K18">
        <v>7.59</v>
      </c>
    </row>
    <row r="19" spans="5:11" x14ac:dyDescent="0.25">
      <c r="E19">
        <v>1.65</v>
      </c>
    </row>
    <row r="20" spans="5:11" x14ac:dyDescent="0.25">
      <c r="E20">
        <v>1.54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C5BAEF-8C4B-4315-818C-893918A5CFF1}">
  <dimension ref="A1:G19"/>
  <sheetViews>
    <sheetView tabSelected="1" workbookViewId="0">
      <selection activeCell="J10" sqref="J10"/>
    </sheetView>
  </sheetViews>
  <sheetFormatPr baseColWidth="10" defaultRowHeight="15" x14ac:dyDescent="0.25"/>
  <cols>
    <col min="1" max="1" width="29.7109375" bestFit="1" customWidth="1"/>
    <col min="2" max="2" width="13.140625" bestFit="1" customWidth="1"/>
    <col min="3" max="3" width="17" customWidth="1"/>
    <col min="4" max="5" width="13.140625" bestFit="1" customWidth="1"/>
    <col min="6" max="6" width="12.140625" bestFit="1" customWidth="1"/>
    <col min="7" max="7" width="13.140625" bestFit="1" customWidth="1"/>
  </cols>
  <sheetData>
    <row r="1" spans="1:7" x14ac:dyDescent="0.25">
      <c r="B1" t="s">
        <v>2</v>
      </c>
      <c r="C1" s="2" t="s">
        <v>4</v>
      </c>
      <c r="D1" t="s">
        <v>3</v>
      </c>
      <c r="E1" t="s">
        <v>9</v>
      </c>
      <c r="G1" t="s">
        <v>12</v>
      </c>
    </row>
    <row r="2" spans="1:7" x14ac:dyDescent="0.25">
      <c r="A2" t="s">
        <v>0</v>
      </c>
      <c r="B2" s="1">
        <v>8811.83</v>
      </c>
      <c r="C2" s="1"/>
      <c r="D2" s="1">
        <f>B2-C2</f>
        <v>8811.83</v>
      </c>
      <c r="E2" s="3">
        <v>5330.59</v>
      </c>
      <c r="G2" s="1">
        <v>37700</v>
      </c>
    </row>
    <row r="3" spans="1:7" x14ac:dyDescent="0.25">
      <c r="A3" t="s">
        <v>5</v>
      </c>
      <c r="B3" s="1">
        <f>2866.42+669.11</f>
        <v>3535.53</v>
      </c>
      <c r="C3" s="1">
        <f>276.42+889.7</f>
        <v>1166.1200000000001</v>
      </c>
      <c r="D3" s="1">
        <f>B3-C3</f>
        <v>2369.41</v>
      </c>
      <c r="G3" s="3">
        <f>G2-2889.33</f>
        <v>34810.67</v>
      </c>
    </row>
    <row r="4" spans="1:7" x14ac:dyDescent="0.25">
      <c r="A4" t="s">
        <v>1</v>
      </c>
      <c r="B4" s="1">
        <v>30265.55</v>
      </c>
      <c r="C4" s="1">
        <f>1330.32+917.43</f>
        <v>2247.75</v>
      </c>
      <c r="D4" s="1">
        <f>B4-C4</f>
        <v>28017.8</v>
      </c>
      <c r="E4" s="1"/>
    </row>
    <row r="5" spans="1:7" x14ac:dyDescent="0.25">
      <c r="B5" s="1"/>
      <c r="C5" s="1"/>
    </row>
    <row r="6" spans="1:7" x14ac:dyDescent="0.25">
      <c r="D6" s="1">
        <f>SUM(D2:D4)</f>
        <v>39199.040000000001</v>
      </c>
      <c r="G6" s="3">
        <f>D6-G3</f>
        <v>4388.3700000000026</v>
      </c>
    </row>
    <row r="7" spans="1:7" x14ac:dyDescent="0.25">
      <c r="A7" s="3">
        <f>D4-2964.15</f>
        <v>25053.649999999998</v>
      </c>
    </row>
    <row r="13" spans="1:7" x14ac:dyDescent="0.25">
      <c r="B13" s="1"/>
    </row>
    <row r="15" spans="1:7" x14ac:dyDescent="0.25">
      <c r="B15" t="s">
        <v>10</v>
      </c>
      <c r="C15" s="2" t="s">
        <v>6</v>
      </c>
      <c r="D15" t="s">
        <v>7</v>
      </c>
    </row>
    <row r="16" spans="1:7" x14ac:dyDescent="0.25">
      <c r="A16" t="s">
        <v>0</v>
      </c>
      <c r="B16" s="3">
        <f>D2-E2</f>
        <v>3481.24</v>
      </c>
      <c r="C16" s="1"/>
    </row>
    <row r="17" spans="1:4" x14ac:dyDescent="0.25">
      <c r="A17" t="s">
        <v>5</v>
      </c>
      <c r="B17" s="3">
        <f>D3</f>
        <v>2369.41</v>
      </c>
      <c r="C17" s="1">
        <f>D2-G6</f>
        <v>4423.4599999999973</v>
      </c>
      <c r="D17" t="s">
        <v>8</v>
      </c>
    </row>
    <row r="18" spans="1:4" x14ac:dyDescent="0.25">
      <c r="B18" s="3"/>
      <c r="C18" s="1">
        <f>A7</f>
        <v>25053.649999999998</v>
      </c>
      <c r="D18" t="s">
        <v>11</v>
      </c>
    </row>
    <row r="19" spans="1:4" x14ac:dyDescent="0.25">
      <c r="B19" s="3"/>
      <c r="C19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Italos restaurante</dc:creator>
  <cp:lastModifiedBy>Italos restaurante</cp:lastModifiedBy>
  <dcterms:created xsi:type="dcterms:W3CDTF">2025-10-31T14:50:31Z</dcterms:created>
  <dcterms:modified xsi:type="dcterms:W3CDTF">2025-10-31T17:06:10Z</dcterms:modified>
</cp:coreProperties>
</file>