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ALOS ADMINISTRACION\PRESUPUESTO NOVIEMBRE 2025 001\"/>
    </mc:Choice>
  </mc:AlternateContent>
  <xr:revisionPtr revIDLastSave="0" documentId="13_ncr:1_{2FDFFAFC-A976-49EF-9B56-7A18B189201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esultado estimado" sheetId="2" r:id="rId1"/>
    <sheet name="Hoja1" sheetId="4" r:id="rId2"/>
    <sheet name="ventas" sheetId="3" r:id="rId3"/>
    <sheet name="ventas real" sheetId="5" r:id="rId4"/>
  </sheets>
  <externalReferences>
    <externalReference r:id="rId5"/>
    <externalReference r:id="rId6"/>
    <externalReference r:id="rId7"/>
    <externalReference r:id="rId8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5" l="1"/>
  <c r="G3" i="5"/>
  <c r="G2" i="5"/>
  <c r="H11" i="5" l="1"/>
  <c r="F2" i="5" l="1"/>
  <c r="F2" i="3"/>
  <c r="G3" i="3" s="1"/>
  <c r="D8" i="3"/>
  <c r="D7" i="3"/>
  <c r="D6" i="3"/>
  <c r="D5" i="3"/>
  <c r="D4" i="3"/>
  <c r="D3" i="3"/>
  <c r="D2" i="3"/>
  <c r="N43" i="2" l="1"/>
  <c r="N21" i="2" l="1"/>
  <c r="O124" i="2" l="1"/>
  <c r="U10" i="2"/>
  <c r="O10" i="2" s="1"/>
  <c r="N55" i="2" l="1"/>
  <c r="N54" i="2"/>
  <c r="N53" i="2"/>
  <c r="N52" i="2"/>
  <c r="N51" i="2"/>
  <c r="N33" i="2"/>
  <c r="N29" i="2"/>
  <c r="N31" i="2"/>
  <c r="N50" i="2"/>
  <c r="N38" i="2" l="1"/>
  <c r="N37" i="2"/>
  <c r="N27" i="2"/>
  <c r="N26" i="2"/>
  <c r="N24" i="2"/>
  <c r="N23" i="2"/>
  <c r="N36" i="2"/>
  <c r="O35" i="2" s="1"/>
  <c r="N22" i="2"/>
  <c r="N20" i="2"/>
  <c r="N67" i="2" l="1"/>
  <c r="N48" i="2"/>
  <c r="N18" i="2"/>
  <c r="N42" i="2"/>
  <c r="N17" i="2"/>
  <c r="N16" i="2"/>
  <c r="N15" i="2"/>
  <c r="N41" i="2"/>
  <c r="N66" i="2"/>
  <c r="N59" i="2"/>
  <c r="O58" i="2" s="1"/>
  <c r="N64" i="2"/>
  <c r="O14" i="2" l="1"/>
  <c r="O11" i="2"/>
  <c r="N47" i="2"/>
  <c r="N46" i="2"/>
  <c r="O45" i="2" l="1"/>
  <c r="O125" i="2"/>
  <c r="Q9" i="2" l="1"/>
  <c r="Q11" i="2" s="1"/>
  <c r="O134" i="2" l="1"/>
  <c r="O135" i="2" l="1"/>
  <c r="P11" i="2" l="1"/>
  <c r="P127" i="2" s="1"/>
  <c r="O40" i="2" l="1"/>
  <c r="M72" i="2" l="1"/>
  <c r="L72" i="2"/>
  <c r="K72" i="2"/>
  <c r="J72" i="2"/>
  <c r="I72" i="2"/>
  <c r="H72" i="2"/>
  <c r="G72" i="2"/>
  <c r="F72" i="2"/>
  <c r="E72" i="2"/>
  <c r="D72" i="2"/>
  <c r="C72" i="2"/>
  <c r="B72" i="2"/>
  <c r="M11" i="2"/>
  <c r="L11" i="2"/>
  <c r="K11" i="2"/>
  <c r="J11" i="2"/>
  <c r="I11" i="2"/>
  <c r="H11" i="2"/>
  <c r="G11" i="2"/>
  <c r="F11" i="2"/>
  <c r="E11" i="2"/>
  <c r="D11" i="2"/>
  <c r="C11" i="2"/>
  <c r="B11" i="2"/>
  <c r="C73" i="2" l="1"/>
  <c r="L73" i="2"/>
  <c r="K73" i="2"/>
  <c r="D73" i="2"/>
  <c r="F73" i="2"/>
  <c r="G73" i="2"/>
  <c r="H73" i="2"/>
  <c r="B73" i="2"/>
  <c r="J73" i="2"/>
  <c r="E73" i="2"/>
  <c r="I73" i="2"/>
  <c r="M73" i="2"/>
  <c r="Q73" i="2" l="1"/>
  <c r="Q126" i="2" s="1"/>
  <c r="Q127" i="2" s="1"/>
  <c r="N68" i="2" l="1"/>
  <c r="N65" i="2"/>
  <c r="O63" i="2" l="1"/>
  <c r="O72" i="2"/>
  <c r="O73" i="2" s="1"/>
  <c r="O126" i="2" s="1"/>
  <c r="O136" i="2" s="1"/>
  <c r="O137" i="2" s="1"/>
  <c r="O127" i="2" l="1"/>
  <c r="C2" i="4"/>
  <c r="C3" i="4" s="1"/>
  <c r="C5" i="4" s="1"/>
  <c r="C7" i="4" l="1"/>
  <c r="C9" i="4"/>
  <c r="C4" i="4"/>
  <c r="C10" i="4"/>
  <c r="C8" i="4"/>
  <c r="C11" i="4"/>
  <c r="C6" i="4"/>
</calcChain>
</file>

<file path=xl/sharedStrings.xml><?xml version="1.0" encoding="utf-8"?>
<sst xmlns="http://schemas.openxmlformats.org/spreadsheetml/2006/main" count="198" uniqueCount="133">
  <si>
    <t>Grupo Pilat, S.A.</t>
  </si>
  <si>
    <t>Oct-22</t>
  </si>
  <si>
    <t>Nov-22</t>
  </si>
  <si>
    <t>Dic-22</t>
  </si>
  <si>
    <t xml:space="preserve">PROMEDIOS IDEALES DIC </t>
  </si>
  <si>
    <t>Ingresos</t>
  </si>
  <si>
    <t>4000 - Ingresos</t>
  </si>
  <si>
    <t>4003 - Descuento de jubilados</t>
  </si>
  <si>
    <t>Total de Ingresos</t>
  </si>
  <si>
    <t>Costo de Venta</t>
  </si>
  <si>
    <t>5008 - CARNES Y PUERCO</t>
  </si>
  <si>
    <t>5009 - MARISCOS</t>
  </si>
  <si>
    <t>5010 - POLLO</t>
  </si>
  <si>
    <t>5011 - VIVERES (MENESTRAS, KETCHUP, OTROS)</t>
  </si>
  <si>
    <t xml:space="preserve">5012 - SODAS, REFRESCOS AGUA </t>
  </si>
  <si>
    <t xml:space="preserve">5013 - FIAMBRERAS, ENVASES VARIOS </t>
  </si>
  <si>
    <t xml:space="preserve">5014 - ARROZ,LEGUMBRES,PAPITAS, ETC </t>
  </si>
  <si>
    <t>6101 - GAS</t>
  </si>
  <si>
    <t xml:space="preserve">Total Costo de Venta </t>
  </si>
  <si>
    <t>Beneficio Bruto</t>
  </si>
  <si>
    <t>Gastos</t>
  </si>
  <si>
    <t>COSTOS SEGÚN CANT</t>
  </si>
  <si>
    <t>chuleta</t>
  </si>
  <si>
    <t>churrasco</t>
  </si>
  <si>
    <t xml:space="preserve">filete de res </t>
  </si>
  <si>
    <t>rincon</t>
  </si>
  <si>
    <t>lomo</t>
  </si>
  <si>
    <t xml:space="preserve">lengua </t>
  </si>
  <si>
    <t xml:space="preserve">costilla horno </t>
  </si>
  <si>
    <t xml:space="preserve">bistec picado </t>
  </si>
  <si>
    <t xml:space="preserve">carne guisada </t>
  </si>
  <si>
    <t>mondongo</t>
  </si>
  <si>
    <t>rabito</t>
  </si>
  <si>
    <t xml:space="preserve">costilla desayuno </t>
  </si>
  <si>
    <t xml:space="preserve">higado </t>
  </si>
  <si>
    <t xml:space="preserve">bofe </t>
  </si>
  <si>
    <t xml:space="preserve">filete de pescado </t>
  </si>
  <si>
    <t xml:space="preserve">corvina </t>
  </si>
  <si>
    <t>bacalao</t>
  </si>
  <si>
    <t xml:space="preserve">filete de pechuga parrilla </t>
  </si>
  <si>
    <t>filete de pechuga criolla</t>
  </si>
  <si>
    <t>pollo</t>
  </si>
  <si>
    <t xml:space="preserve">porotos </t>
  </si>
  <si>
    <t xml:space="preserve">lentejas </t>
  </si>
  <si>
    <t xml:space="preserve">chorizo de parrilla </t>
  </si>
  <si>
    <t>chorizo tableño</t>
  </si>
  <si>
    <t>almojabano</t>
  </si>
  <si>
    <t xml:space="preserve">salchicha para guisar </t>
  </si>
  <si>
    <t>bollo</t>
  </si>
  <si>
    <t>carimañola</t>
  </si>
  <si>
    <t>tortilla</t>
  </si>
  <si>
    <t>empa</t>
  </si>
  <si>
    <t xml:space="preserve">sodas </t>
  </si>
  <si>
    <t xml:space="preserve">arroz </t>
  </si>
  <si>
    <t xml:space="preserve">perejil </t>
  </si>
  <si>
    <t>platano</t>
  </si>
  <si>
    <t>papitas</t>
  </si>
  <si>
    <t>PRESUPUESTO SEGÚN CANT ENERO 24</t>
  </si>
  <si>
    <t>Total de Gastos operativos</t>
  </si>
  <si>
    <t>Utilidad operativa</t>
  </si>
  <si>
    <t>Gastos no operativos</t>
  </si>
  <si>
    <t xml:space="preserve">          Cargos y tasas bancarias</t>
  </si>
  <si>
    <t xml:space="preserve">          Cargos de Tarjeta de crédito</t>
  </si>
  <si>
    <t xml:space="preserve">          Depreciación y Amortización</t>
  </si>
  <si>
    <t xml:space="preserve">          Impuestos (Tasa Única, Aviso Op, Otros)</t>
  </si>
  <si>
    <t xml:space="preserve">          Intereses por prestamos comerciales</t>
  </si>
  <si>
    <t>Total de Gastos no operativos</t>
  </si>
  <si>
    <t>Utilidad (pérdida) neta</t>
  </si>
  <si>
    <t/>
  </si>
  <si>
    <t xml:space="preserve">costilla para parrilla </t>
  </si>
  <si>
    <t>fecha</t>
  </si>
  <si>
    <t xml:space="preserve">PRESUPUESTO ESTADO DE RESULTADO </t>
  </si>
  <si>
    <t xml:space="preserve">Presupuesto según porcentajes ideales </t>
  </si>
  <si>
    <t>ACTUAL</t>
  </si>
  <si>
    <t xml:space="preserve"> </t>
  </si>
  <si>
    <t>2024 mayo</t>
  </si>
  <si>
    <t>yuca</t>
  </si>
  <si>
    <t>Gastos Operativos</t>
  </si>
  <si>
    <t>Salarios</t>
  </si>
  <si>
    <t>Vacaciones</t>
  </si>
  <si>
    <t>XIII Mes</t>
  </si>
  <si>
    <t>Prima de Antiguedad</t>
  </si>
  <si>
    <t>Indemnización</t>
  </si>
  <si>
    <t>Preaviso</t>
  </si>
  <si>
    <t>Cuota Patronal CSS</t>
  </si>
  <si>
    <t>Alquiler Local</t>
  </si>
  <si>
    <t>Electricidad</t>
  </si>
  <si>
    <t>Telefonía e Internet</t>
  </si>
  <si>
    <t>Agua y Aseo</t>
  </si>
  <si>
    <t>Cargos Bancarios</t>
  </si>
  <si>
    <t>Cargos de Tarjetas de Crédito</t>
  </si>
  <si>
    <t>Seguros</t>
  </si>
  <si>
    <t>Honorarios Profesionales</t>
  </si>
  <si>
    <t>Atención al Cliente</t>
  </si>
  <si>
    <t>VARIOS</t>
  </si>
  <si>
    <t>Atención Empleado</t>
  </si>
  <si>
    <t>Fletes y Acarreos</t>
  </si>
  <si>
    <t>Gasolina y Lubricante</t>
  </si>
  <si>
    <t>Legales y Notariales</t>
  </si>
  <si>
    <t>Herramientas Pequeñas</t>
  </si>
  <si>
    <t>Impresos, Materiales e insumos</t>
  </si>
  <si>
    <t>Reparacion y Mant. Freidora In</t>
  </si>
  <si>
    <t>Reparación Equi de Informática</t>
  </si>
  <si>
    <t>Reparación y Mant. Eq de Ofici</t>
  </si>
  <si>
    <t>Reparación y Mant. Eq de Segur</t>
  </si>
  <si>
    <t>Reparación y Mant. Eq de Rodan</t>
  </si>
  <si>
    <t>Rep. y Mant. de Ofic/Local</t>
  </si>
  <si>
    <t>Gastos Médicos</t>
  </si>
  <si>
    <t>Papelería y Fotocopia</t>
  </si>
  <si>
    <t>Peajes, Estacionamientos</t>
  </si>
  <si>
    <t>Programas y Licencias</t>
  </si>
  <si>
    <t>Publicidad y Marketing</t>
  </si>
  <si>
    <t>Regalo Navideño</t>
  </si>
  <si>
    <t>Uniformes</t>
  </si>
  <si>
    <t>Útiles de Aseo</t>
  </si>
  <si>
    <t>Viático</t>
  </si>
  <si>
    <t>FUMIGACION</t>
  </si>
  <si>
    <t>Gastos no Operativos</t>
  </si>
  <si>
    <t>Intereses por Préstamos Comerc</t>
  </si>
  <si>
    <t>Comisiones y C. Banc -Prest/LC</t>
  </si>
  <si>
    <t>Imp. (Tasa Unic, Aviso Otros)</t>
  </si>
  <si>
    <t>Multas y Recargos sobre Impues</t>
  </si>
  <si>
    <t>bolita de carne</t>
  </si>
  <si>
    <t>bistec cinta</t>
  </si>
  <si>
    <t>carnes imprevistas</t>
  </si>
  <si>
    <t xml:space="preserve">otros viveres </t>
  </si>
  <si>
    <t xml:space="preserve">otros </t>
  </si>
  <si>
    <t>otras legumbres</t>
  </si>
  <si>
    <t>ventas pedidos ya + uber</t>
  </si>
  <si>
    <t>ventas tarjetas</t>
  </si>
  <si>
    <t>ventas yappy</t>
  </si>
  <si>
    <t>ventas efect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</si>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</sst>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B/.&quot;#,##0.00;[Red]\-&quot;B/.&quot;#,##0.00"/>
    <numFmt numFmtId="44" formatCode="_-&quot;B/.&quot;* #,##0.00_-;\-&quot;B/.&quot;* #,##0.00_-;_-&quot;B/.&quot;* &quot;-&quot;??_-;_-@_-"/>
    <numFmt numFmtId="43" formatCode="_-* #,##0.00_-;\-* #,##0.00_-;_-* &quot;-&quot;??_-;_-@_-"/>
    <numFmt numFmtId="164" formatCode="&quot;B/.&quot;#,##0.00"/>
    <numFmt numFmtId="165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Source Sans Pro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  <xf numFmtId="17" fontId="2" fillId="2" borderId="0" xfId="0" applyNumberFormat="1" applyFont="1" applyFill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164" fontId="0" fillId="2" borderId="2" xfId="0" applyNumberFormat="1" applyFill="1" applyBorder="1" applyAlignment="1">
      <alignment horizontal="left"/>
    </xf>
    <xf numFmtId="165" fontId="0" fillId="2" borderId="0" xfId="0" applyNumberFormat="1" applyFill="1" applyAlignment="1">
      <alignment horizontal="left"/>
    </xf>
    <xf numFmtId="165" fontId="0" fillId="3" borderId="0" xfId="0" applyNumberFormat="1" applyFill="1" applyAlignment="1">
      <alignment horizontal="left"/>
    </xf>
    <xf numFmtId="165" fontId="0" fillId="2" borderId="2" xfId="0" applyNumberFormat="1" applyFill="1" applyBorder="1" applyAlignment="1">
      <alignment horizontal="left"/>
    </xf>
    <xf numFmtId="165" fontId="2" fillId="2" borderId="0" xfId="0" applyNumberFormat="1" applyFont="1" applyFill="1" applyAlignment="1">
      <alignment horizontal="left"/>
    </xf>
    <xf numFmtId="165" fontId="2" fillId="3" borderId="0" xfId="0" applyNumberFormat="1" applyFont="1" applyFill="1" applyAlignment="1">
      <alignment horizontal="left"/>
    </xf>
    <xf numFmtId="165" fontId="2" fillId="2" borderId="2" xfId="0" applyNumberFormat="1" applyFont="1" applyFill="1" applyBorder="1" applyAlignment="1">
      <alignment horizontal="left"/>
    </xf>
    <xf numFmtId="165" fontId="0" fillId="2" borderId="2" xfId="1" applyNumberFormat="1" applyFont="1" applyFill="1" applyBorder="1" applyAlignment="1">
      <alignment horizontal="left"/>
    </xf>
    <xf numFmtId="165" fontId="0" fillId="3" borderId="2" xfId="1" applyNumberFormat="1" applyFont="1" applyFill="1" applyBorder="1" applyAlignment="1">
      <alignment horizontal="left"/>
    </xf>
    <xf numFmtId="165" fontId="0" fillId="3" borderId="0" xfId="1" applyNumberFormat="1" applyFont="1" applyFill="1" applyBorder="1" applyAlignment="1">
      <alignment horizontal="left"/>
    </xf>
    <xf numFmtId="165" fontId="0" fillId="2" borderId="0" xfId="1" applyNumberFormat="1" applyFont="1" applyFill="1" applyBorder="1" applyAlignment="1">
      <alignment horizontal="left"/>
    </xf>
    <xf numFmtId="0" fontId="0" fillId="3" borderId="0" xfId="0" applyFill="1" applyAlignment="1">
      <alignment horizontal="left"/>
    </xf>
    <xf numFmtId="164" fontId="0" fillId="2" borderId="1" xfId="0" applyNumberFormat="1" applyFill="1" applyBorder="1" applyAlignment="1">
      <alignment horizontal="left"/>
    </xf>
    <xf numFmtId="165" fontId="0" fillId="2" borderId="1" xfId="0" applyNumberForma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165" fontId="0" fillId="2" borderId="1" xfId="1" applyNumberFormat="1" applyFont="1" applyFill="1" applyBorder="1" applyAlignment="1">
      <alignment horizontal="left"/>
    </xf>
    <xf numFmtId="165" fontId="0" fillId="0" borderId="1" xfId="1" applyNumberFormat="1" applyFont="1" applyFill="1" applyBorder="1" applyAlignment="1">
      <alignment horizontal="left"/>
    </xf>
    <xf numFmtId="9" fontId="0" fillId="2" borderId="1" xfId="1" applyFont="1" applyFill="1" applyBorder="1" applyAlignment="1">
      <alignment horizontal="left"/>
    </xf>
    <xf numFmtId="44" fontId="0" fillId="2" borderId="1" xfId="2" applyFont="1" applyFill="1" applyBorder="1" applyAlignment="1">
      <alignment horizontal="left"/>
    </xf>
    <xf numFmtId="44" fontId="0" fillId="2" borderId="1" xfId="2" applyFont="1" applyFill="1" applyBorder="1" applyAlignment="1">
      <alignment horizontal="center" vertical="center"/>
    </xf>
    <xf numFmtId="0" fontId="0" fillId="0" borderId="1" xfId="0" applyBorder="1"/>
    <xf numFmtId="16" fontId="2" fillId="2" borderId="0" xfId="0" applyNumberFormat="1" applyFont="1" applyFill="1" applyAlignment="1">
      <alignment horizontal="left"/>
    </xf>
    <xf numFmtId="0" fontId="0" fillId="0" borderId="0" xfId="0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65" fontId="2" fillId="4" borderId="3" xfId="0" applyNumberFormat="1" applyFont="1" applyFill="1" applyBorder="1" applyAlignment="1">
      <alignment vertical="center"/>
    </xf>
    <xf numFmtId="43" fontId="2" fillId="4" borderId="3" xfId="0" applyNumberFormat="1" applyFont="1" applyFill="1" applyBorder="1" applyAlignment="1">
      <alignment vertical="center"/>
    </xf>
    <xf numFmtId="9" fontId="2" fillId="2" borderId="1" xfId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left"/>
    </xf>
    <xf numFmtId="165" fontId="0" fillId="2" borderId="4" xfId="1" applyNumberFormat="1" applyFont="1" applyFill="1" applyBorder="1" applyAlignment="1">
      <alignment horizontal="left"/>
    </xf>
    <xf numFmtId="165" fontId="0" fillId="2" borderId="4" xfId="1" applyNumberFormat="1" applyFont="1" applyFill="1" applyBorder="1" applyAlignment="1">
      <alignment horizontal="center" vertical="center"/>
    </xf>
    <xf numFmtId="165" fontId="0" fillId="2" borderId="5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center" vertical="center"/>
    </xf>
    <xf numFmtId="0" fontId="2" fillId="4" borderId="1" xfId="0" applyFont="1" applyFill="1" applyBorder="1"/>
    <xf numFmtId="165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vertical="center"/>
    </xf>
    <xf numFmtId="9" fontId="0" fillId="2" borderId="1" xfId="0" applyNumberFormat="1" applyFill="1" applyBorder="1" applyAlignment="1">
      <alignment horizontal="left"/>
    </xf>
    <xf numFmtId="9" fontId="0" fillId="3" borderId="1" xfId="0" applyNumberFormat="1" applyFill="1" applyBorder="1" applyAlignment="1">
      <alignment horizontal="left"/>
    </xf>
    <xf numFmtId="9" fontId="0" fillId="3" borderId="1" xfId="1" applyFont="1" applyFill="1" applyBorder="1" applyAlignment="1">
      <alignment horizontal="left"/>
    </xf>
    <xf numFmtId="0" fontId="2" fillId="4" borderId="1" xfId="0" applyFont="1" applyFill="1" applyBorder="1" applyAlignment="1">
      <alignment vertical="center"/>
    </xf>
    <xf numFmtId="43" fontId="2" fillId="4" borderId="1" xfId="0" applyNumberFormat="1" applyFont="1" applyFill="1" applyBorder="1" applyAlignment="1">
      <alignment vertical="center"/>
    </xf>
    <xf numFmtId="43" fontId="0" fillId="0" borderId="0" xfId="0" applyNumberFormat="1"/>
    <xf numFmtId="43" fontId="0" fillId="0" borderId="1" xfId="0" applyNumberFormat="1" applyBorder="1"/>
    <xf numFmtId="8" fontId="0" fillId="0" borderId="0" xfId="0" applyNumberFormat="1"/>
    <xf numFmtId="8" fontId="0" fillId="4" borderId="1" xfId="2" applyNumberFormat="1" applyFont="1" applyFill="1" applyBorder="1" applyAlignment="1">
      <alignment horizontal="right" vertical="center"/>
    </xf>
    <xf numFmtId="14" fontId="0" fillId="0" borderId="0" xfId="0" applyNumberFormat="1"/>
    <xf numFmtId="0" fontId="4" fillId="0" borderId="0" xfId="0" applyFont="1"/>
    <xf numFmtId="8" fontId="3" fillId="0" borderId="0" xfId="0" applyNumberFormat="1" applyFont="1"/>
    <xf numFmtId="8" fontId="2" fillId="4" borderId="1" xfId="2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44" fontId="0" fillId="0" borderId="1" xfId="0" applyNumberFormat="1" applyBorder="1"/>
    <xf numFmtId="0" fontId="5" fillId="0" borderId="1" xfId="0" applyFont="1" applyBorder="1"/>
    <xf numFmtId="44" fontId="5" fillId="0" borderId="1" xfId="2" applyFont="1" applyBorder="1"/>
    <xf numFmtId="9" fontId="2" fillId="0" borderId="1" xfId="1" applyFont="1" applyBorder="1"/>
    <xf numFmtId="44" fontId="0" fillId="0" borderId="0" xfId="0" applyNumberFormat="1"/>
    <xf numFmtId="165" fontId="0" fillId="2" borderId="0" xfId="1" applyNumberFormat="1" applyFont="1" applyFill="1" applyBorder="1" applyAlignment="1">
      <alignment horizontal="center" vertical="center"/>
    </xf>
    <xf numFmtId="8" fontId="0" fillId="2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8" fontId="0" fillId="0" borderId="1" xfId="0" applyNumberFormat="1" applyBorder="1"/>
    <xf numFmtId="4" fontId="6" fillId="0" borderId="1" xfId="0" applyNumberFormat="1" applyFont="1" applyBorder="1"/>
    <xf numFmtId="49" fontId="7" fillId="0" borderId="0" xfId="0" applyNumberFormat="1" applyFont="1" applyAlignment="1">
      <alignment horizontal="left"/>
    </xf>
    <xf numFmtId="165" fontId="0" fillId="0" borderId="0" xfId="0" applyNumberFormat="1"/>
    <xf numFmtId="44" fontId="0" fillId="0" borderId="0" xfId="2" applyFont="1"/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TALOS%20ADMINISTRACION\PRESUPUESTO%20NOVIEMBRE%202025%20001\calculos%20de%20insumos\produccion%20semanal%20COMBOS.xlsx" TargetMode="External"/><Relationship Id="rId1" Type="http://schemas.openxmlformats.org/officeDocument/2006/relationships/externalLinkPath" Target="calculos%20de%20insumos/produccion%20semanal%20COMB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s%20de%20insumos/produccion%20semanal%20CRIOLLA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os%20de%20insumos/produccion%20semanal%20DESAYUN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cb8060e6c60eade/Desktop/PRESUPUESTO%20NOVIEMBRE%202025/produccion%20semanal%20COMB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DAS"/>
      <sheetName val="ARROZ"/>
      <sheetName val="CHIMICHURRI"/>
      <sheetName val="CHIMICHURRI calculo"/>
      <sheetName val="PATACONES"/>
      <sheetName val="POLLO"/>
      <sheetName val="POLLO calculo"/>
      <sheetName val="CHULETAS"/>
      <sheetName val="CHURRASCO"/>
      <sheetName val="COSTILLAS ASADAS"/>
      <sheetName val="FILETE DE PECHUGA"/>
      <sheetName val="FILETE DE RES "/>
      <sheetName val="RINCON"/>
      <sheetName val="chorizo parrilla "/>
      <sheetName val="yuca"/>
      <sheetName val="papitas"/>
    </sheetNames>
    <sheetDataSet>
      <sheetData sheetId="0">
        <row r="18">
          <cell r="C18">
            <v>62.973285811333334</v>
          </cell>
        </row>
        <row r="21">
          <cell r="B21">
            <v>1826.2252885286666</v>
          </cell>
        </row>
      </sheetData>
      <sheetData sheetId="1">
        <row r="18">
          <cell r="B18">
            <v>72.74495568479999</v>
          </cell>
        </row>
        <row r="21">
          <cell r="B21">
            <v>922.40603808326387</v>
          </cell>
        </row>
      </sheetData>
      <sheetData sheetId="2">
        <row r="18">
          <cell r="B18">
            <v>27.984256451985061</v>
          </cell>
        </row>
        <row r="20">
          <cell r="B20">
            <v>335.81107742382073</v>
          </cell>
        </row>
      </sheetData>
      <sheetData sheetId="3"/>
      <sheetData sheetId="4">
        <row r="18">
          <cell r="C18">
            <v>298.27989403302854</v>
          </cell>
        </row>
        <row r="21">
          <cell r="B21">
            <v>286.34869827170741</v>
          </cell>
        </row>
      </sheetData>
      <sheetData sheetId="5"/>
      <sheetData sheetId="6">
        <row r="14">
          <cell r="B14">
            <v>32.729569136400002</v>
          </cell>
        </row>
        <row r="18">
          <cell r="B18">
            <v>4131.6058224107055</v>
          </cell>
        </row>
      </sheetData>
      <sheetData sheetId="7">
        <row r="18">
          <cell r="C18">
            <v>270.26897636255995</v>
          </cell>
        </row>
        <row r="21">
          <cell r="C21">
            <v>1404.5338163609517</v>
          </cell>
        </row>
      </sheetData>
      <sheetData sheetId="8">
        <row r="18">
          <cell r="B18">
            <v>18.953177664399998</v>
          </cell>
        </row>
        <row r="21">
          <cell r="C21">
            <v>285.96554460046718</v>
          </cell>
        </row>
      </sheetData>
      <sheetData sheetId="9">
        <row r="21">
          <cell r="C21">
            <v>391.36151984232163</v>
          </cell>
        </row>
      </sheetData>
      <sheetData sheetId="10">
        <row r="21">
          <cell r="E21">
            <v>10.778595782581812</v>
          </cell>
        </row>
        <row r="22">
          <cell r="C22">
            <v>90.54020457368722</v>
          </cell>
        </row>
      </sheetData>
      <sheetData sheetId="11">
        <row r="20">
          <cell r="E20">
            <v>11.269347606399998</v>
          </cell>
        </row>
        <row r="21">
          <cell r="C21">
            <v>405.24573992614393</v>
          </cell>
        </row>
      </sheetData>
      <sheetData sheetId="12"/>
      <sheetData sheetId="13">
        <row r="18">
          <cell r="B18">
            <v>49.430411835199997</v>
          </cell>
        </row>
        <row r="21">
          <cell r="C21">
            <v>134.16826069554287</v>
          </cell>
        </row>
      </sheetData>
      <sheetData sheetId="14">
        <row r="20">
          <cell r="E20">
            <v>29.287222499999999</v>
          </cell>
        </row>
        <row r="21">
          <cell r="C21">
            <v>296.38669169999997</v>
          </cell>
        </row>
      </sheetData>
      <sheetData sheetId="15">
        <row r="22">
          <cell r="D22">
            <v>22.168107500000005</v>
          </cell>
        </row>
        <row r="24">
          <cell r="C24">
            <v>1205.9450480000003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MO"/>
      <sheetName val="LENGUA"/>
      <sheetName val="FILETE DE PESCADO"/>
      <sheetName val="COSTILLA HORNO"/>
      <sheetName val="FILETE PECHUGA "/>
      <sheetName val="BISTEC PICADO"/>
      <sheetName val="CARNE GUISADA"/>
      <sheetName val="MONDONGO"/>
      <sheetName val="CORVINA"/>
      <sheetName val="BACALAO"/>
      <sheetName val="GUACHO DE RABITO"/>
      <sheetName val="PAVO "/>
    </sheetNames>
    <sheetDataSet>
      <sheetData sheetId="0">
        <row r="20">
          <cell r="E20">
            <v>9.0967199999999995</v>
          </cell>
        </row>
        <row r="21">
          <cell r="C21">
            <v>236.51471999999998</v>
          </cell>
        </row>
      </sheetData>
      <sheetData sheetId="1">
        <row r="20">
          <cell r="E20">
            <v>5.460119999999999</v>
          </cell>
        </row>
        <row r="21">
          <cell r="C21">
            <v>184.98886559999997</v>
          </cell>
        </row>
      </sheetData>
      <sheetData sheetId="2">
        <row r="21">
          <cell r="C21">
            <v>283.16468399999997</v>
          </cell>
        </row>
      </sheetData>
      <sheetData sheetId="3">
        <row r="18">
          <cell r="C18">
            <v>231.334</v>
          </cell>
        </row>
        <row r="21">
          <cell r="C21">
            <v>390.35299160000005</v>
          </cell>
        </row>
      </sheetData>
      <sheetData sheetId="4">
        <row r="21">
          <cell r="E21">
            <v>12.117296998400001</v>
          </cell>
        </row>
        <row r="22">
          <cell r="C22">
            <v>101.78529478656002</v>
          </cell>
        </row>
      </sheetData>
      <sheetData sheetId="5">
        <row r="20">
          <cell r="E20">
            <v>8.8042275000000014</v>
          </cell>
        </row>
        <row r="21">
          <cell r="C21">
            <v>253.56175200000004</v>
          </cell>
        </row>
      </sheetData>
      <sheetData sheetId="6">
        <row r="20">
          <cell r="E20">
            <v>6.7624025000000012</v>
          </cell>
        </row>
        <row r="21">
          <cell r="C21">
            <v>155.53525750000003</v>
          </cell>
        </row>
      </sheetData>
      <sheetData sheetId="7">
        <row r="20">
          <cell r="E20">
            <v>4.9796149999999999</v>
          </cell>
        </row>
        <row r="21">
          <cell r="C21">
            <v>47.804303999999995</v>
          </cell>
        </row>
      </sheetData>
      <sheetData sheetId="8">
        <row r="21">
          <cell r="E21">
            <v>6.8302080000000016</v>
          </cell>
        </row>
        <row r="22">
          <cell r="C22">
            <v>75.132288000000017</v>
          </cell>
        </row>
      </sheetData>
      <sheetData sheetId="9">
        <row r="20">
          <cell r="E20">
            <v>3.1284000000000005</v>
          </cell>
        </row>
        <row r="21">
          <cell r="C21">
            <v>127.51358400000001</v>
          </cell>
        </row>
      </sheetData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MOJABANO"/>
      <sheetName val="HIGADO"/>
      <sheetName val="COSTILLA FRITA"/>
      <sheetName val="BOFE"/>
      <sheetName val="SALCHICHA GUI"/>
      <sheetName val="BOLLO"/>
      <sheetName val="CARIMAÑOLA"/>
      <sheetName val="TORTILLA"/>
      <sheetName val="EMP DE MAIZ"/>
      <sheetName val="CHORIZO TABLEÑO"/>
    </sheetNames>
    <sheetDataSet>
      <sheetData sheetId="0">
        <row r="18">
          <cell r="B18">
            <v>11.91</v>
          </cell>
        </row>
        <row r="20">
          <cell r="C20">
            <v>5.9550000000000001</v>
          </cell>
        </row>
      </sheetData>
      <sheetData sheetId="1">
        <row r="20">
          <cell r="F20">
            <v>18.18181818181818</v>
          </cell>
        </row>
        <row r="21">
          <cell r="C21">
            <v>78.967625000000012</v>
          </cell>
        </row>
      </sheetData>
      <sheetData sheetId="2">
        <row r="20">
          <cell r="E20">
            <v>7.9025600000000011</v>
          </cell>
        </row>
        <row r="21">
          <cell r="C21">
            <v>226.64542080000004</v>
          </cell>
        </row>
      </sheetData>
      <sheetData sheetId="3">
        <row r="20">
          <cell r="E20">
            <v>13.340359999999999</v>
          </cell>
        </row>
        <row r="21">
          <cell r="C21">
            <v>193.70202719999997</v>
          </cell>
        </row>
      </sheetData>
      <sheetData sheetId="4">
        <row r="21">
          <cell r="E21">
            <v>9.1115750000000002</v>
          </cell>
        </row>
        <row r="22">
          <cell r="C22">
            <v>51.024819999999998</v>
          </cell>
        </row>
      </sheetData>
      <sheetData sheetId="5">
        <row r="18">
          <cell r="B18">
            <v>78.820999999999998</v>
          </cell>
        </row>
        <row r="20">
          <cell r="C20">
            <v>157.642</v>
          </cell>
        </row>
      </sheetData>
      <sheetData sheetId="6">
        <row r="18">
          <cell r="B18">
            <v>36.615999999999993</v>
          </cell>
        </row>
        <row r="20">
          <cell r="C20">
            <v>60.782559999999989</v>
          </cell>
        </row>
      </sheetData>
      <sheetData sheetId="7">
        <row r="19">
          <cell r="B19">
            <v>10.077450000000001</v>
          </cell>
        </row>
        <row r="20">
          <cell r="C20">
            <v>52.402740000000009</v>
          </cell>
        </row>
      </sheetData>
      <sheetData sheetId="8">
        <row r="19">
          <cell r="B19">
            <v>6.1459285714285716</v>
          </cell>
        </row>
        <row r="20">
          <cell r="C20">
            <v>41.792314285714284</v>
          </cell>
        </row>
      </sheetData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DAS"/>
      <sheetName val="ARROZ"/>
      <sheetName val="CHIMICHURRI"/>
      <sheetName val="CHIMICHURRI calculo"/>
      <sheetName val="PATACONES"/>
      <sheetName val="POLLO"/>
      <sheetName val="POLLO calculo"/>
      <sheetName val="CHULETAS"/>
      <sheetName val="CHURRASCO"/>
      <sheetName val="COSTILLAS ASADAS"/>
      <sheetName val="FILETE DE PECHUGA"/>
      <sheetName val="FILETE DE RES "/>
      <sheetName val="RINCON"/>
      <sheetName val="chorizo parrilla "/>
      <sheetName val="yuca"/>
      <sheetName val="papitas"/>
    </sheetNames>
    <sheetDataSet>
      <sheetData sheetId="0">
        <row r="20">
          <cell r="C20">
            <v>62.877499999999998</v>
          </cell>
        </row>
      </sheetData>
      <sheetData sheetId="1">
        <row r="18">
          <cell r="B18">
            <v>64.172434999999993</v>
          </cell>
        </row>
        <row r="21">
          <cell r="D21">
            <v>222.75</v>
          </cell>
          <cell r="E21">
            <v>287.5</v>
          </cell>
        </row>
      </sheetData>
      <sheetData sheetId="2">
        <row r="20">
          <cell r="B20">
            <v>1415.912572534</v>
          </cell>
        </row>
      </sheetData>
      <sheetData sheetId="3"/>
      <sheetData sheetId="4">
        <row r="18">
          <cell r="C18">
            <v>282.77678571428572</v>
          </cell>
        </row>
      </sheetData>
      <sheetData sheetId="5"/>
      <sheetData sheetId="6">
        <row r="14">
          <cell r="B14">
            <v>42.615714285714283</v>
          </cell>
        </row>
      </sheetData>
      <sheetData sheetId="7">
        <row r="18">
          <cell r="C18">
            <v>202.17499999999998</v>
          </cell>
        </row>
      </sheetData>
      <sheetData sheetId="8">
        <row r="18">
          <cell r="B18">
            <v>18.273500000000002</v>
          </cell>
        </row>
      </sheetData>
      <sheetData sheetId="9">
        <row r="20">
          <cell r="E20">
            <v>12.811435000000001</v>
          </cell>
        </row>
      </sheetData>
      <sheetData sheetId="10">
        <row r="21">
          <cell r="E21">
            <v>11.68386319485</v>
          </cell>
        </row>
      </sheetData>
      <sheetData sheetId="11">
        <row r="20">
          <cell r="E20">
            <v>1.6044074999999998</v>
          </cell>
        </row>
      </sheetData>
      <sheetData sheetId="12">
        <row r="20">
          <cell r="E20">
            <v>5.9890849999999993</v>
          </cell>
        </row>
      </sheetData>
      <sheetData sheetId="13">
        <row r="18">
          <cell r="B18">
            <v>34.826000000000001</v>
          </cell>
        </row>
      </sheetData>
      <sheetData sheetId="14"/>
      <sheetData sheetId="15">
        <row r="22">
          <cell r="D22">
            <v>15.094095000000003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37"/>
  <sheetViews>
    <sheetView zoomScale="90" zoomScaleNormal="90" workbookViewId="0">
      <pane xSplit="1" ySplit="7" topLeftCell="N123" activePane="bottomRight" state="frozen"/>
      <selection pane="topRight" activeCell="B1" sqref="B1"/>
      <selection pane="bottomLeft" activeCell="A7" sqref="A7"/>
      <selection pane="bottomRight" activeCell="T114" sqref="T114"/>
    </sheetView>
  </sheetViews>
  <sheetFormatPr baseColWidth="10" defaultRowHeight="15" x14ac:dyDescent="0.25"/>
  <cols>
    <col min="1" max="1" width="50" bestFit="1" customWidth="1"/>
    <col min="2" max="3" width="0" hidden="1" customWidth="1"/>
    <col min="4" max="13" width="10.42578125" hidden="1" customWidth="1"/>
    <col min="14" max="14" width="27.5703125" bestFit="1" customWidth="1"/>
    <col min="15" max="15" width="35.140625" customWidth="1"/>
    <col min="16" max="16" width="0.85546875" hidden="1" customWidth="1"/>
    <col min="17" max="17" width="16.85546875" hidden="1" customWidth="1"/>
    <col min="18" max="18" width="12.140625" bestFit="1" customWidth="1"/>
    <col min="19" max="19" width="0" hidden="1" customWidth="1"/>
    <col min="20" max="20" width="12.42578125" bestFit="1" customWidth="1"/>
    <col min="21" max="21" width="12.140625" bestFit="1" customWidth="1"/>
  </cols>
  <sheetData>
    <row r="1" spans="1:21" x14ac:dyDescent="0.25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4"/>
      <c r="N1" s="4"/>
      <c r="O1" s="5"/>
    </row>
    <row r="2" spans="1:21" x14ac:dyDescent="0.25">
      <c r="A2" s="38" t="s">
        <v>75</v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4"/>
      <c r="N2" s="4"/>
      <c r="O2" s="5"/>
    </row>
    <row r="3" spans="1:21" x14ac:dyDescent="0.25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4"/>
      <c r="N3" s="4"/>
      <c r="O3" s="5"/>
    </row>
    <row r="4" spans="1:21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3"/>
      <c r="M4" s="4"/>
      <c r="N4" s="4"/>
      <c r="O4" s="5"/>
    </row>
    <row r="5" spans="1:21" x14ac:dyDescent="0.25">
      <c r="A5" s="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4"/>
      <c r="O5" s="5"/>
    </row>
    <row r="6" spans="1:21" ht="26.25" customHeight="1" x14ac:dyDescent="0.25">
      <c r="A6" s="1"/>
      <c r="B6" s="15">
        <v>44562</v>
      </c>
      <c r="C6" s="15">
        <v>44593</v>
      </c>
      <c r="D6" s="15">
        <v>44621</v>
      </c>
      <c r="E6" s="15">
        <v>44652</v>
      </c>
      <c r="F6" s="15">
        <v>44682</v>
      </c>
      <c r="G6" s="15">
        <v>44713</v>
      </c>
      <c r="H6" s="15">
        <v>44743</v>
      </c>
      <c r="I6" s="15">
        <v>44774</v>
      </c>
      <c r="J6" s="15">
        <v>44805</v>
      </c>
      <c r="K6" s="2" t="s">
        <v>1</v>
      </c>
      <c r="L6" s="2" t="s">
        <v>2</v>
      </c>
      <c r="M6" s="16" t="s">
        <v>3</v>
      </c>
      <c r="N6" s="7" t="s">
        <v>21</v>
      </c>
      <c r="O6" s="7" t="s">
        <v>57</v>
      </c>
      <c r="P6" s="7" t="s">
        <v>4</v>
      </c>
    </row>
    <row r="7" spans="1:21" x14ac:dyDescent="0.25">
      <c r="A7" s="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7"/>
      <c r="N7" s="8"/>
      <c r="O7" s="8"/>
      <c r="P7" s="8"/>
    </row>
    <row r="8" spans="1:21" x14ac:dyDescent="0.25">
      <c r="A8" s="1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3"/>
      <c r="M8" s="17"/>
      <c r="N8" s="29"/>
      <c r="O8" s="8"/>
      <c r="P8" s="8"/>
      <c r="Q8" s="75" t="s">
        <v>73</v>
      </c>
    </row>
    <row r="9" spans="1:21" x14ac:dyDescent="0.25">
      <c r="A9" s="6" t="s">
        <v>6</v>
      </c>
      <c r="B9" s="18">
        <v>27246.28</v>
      </c>
      <c r="C9" s="18">
        <v>30713.79</v>
      </c>
      <c r="D9" s="19">
        <v>38889.1</v>
      </c>
      <c r="E9" s="18">
        <v>34286.15</v>
      </c>
      <c r="F9" s="18">
        <v>33739.300000000003</v>
      </c>
      <c r="G9" s="18">
        <v>33369.75</v>
      </c>
      <c r="H9" s="18">
        <v>33203.71</v>
      </c>
      <c r="I9" s="18">
        <v>38539.699999999997</v>
      </c>
      <c r="J9" s="18">
        <v>36930.829999999994</v>
      </c>
      <c r="K9" s="19">
        <v>45761.68</v>
      </c>
      <c r="L9" s="18">
        <v>38553.57</v>
      </c>
      <c r="M9" s="20">
        <v>59145.57</v>
      </c>
      <c r="N9" s="30"/>
      <c r="O9" s="62">
        <v>50000</v>
      </c>
      <c r="P9" s="9">
        <v>59000</v>
      </c>
      <c r="Q9" s="76">
        <f>ventas!G2</f>
        <v>10578.4</v>
      </c>
    </row>
    <row r="10" spans="1:21" x14ac:dyDescent="0.25">
      <c r="A10" s="6" t="s">
        <v>7</v>
      </c>
      <c r="B10" s="18">
        <v>-1527.1</v>
      </c>
      <c r="C10" s="18">
        <v>-1468.43</v>
      </c>
      <c r="D10" s="19">
        <v>-1692.77</v>
      </c>
      <c r="E10" s="18">
        <v>-1632.95</v>
      </c>
      <c r="F10" s="18">
        <v>-1853.47</v>
      </c>
      <c r="G10" s="18">
        <v>-1958.03</v>
      </c>
      <c r="H10" s="18">
        <v>-1916.18</v>
      </c>
      <c r="I10" s="18">
        <v>-2084.59</v>
      </c>
      <c r="J10" s="18">
        <v>-2131.91</v>
      </c>
      <c r="K10" s="19">
        <v>-2025.79</v>
      </c>
      <c r="L10" s="18">
        <v>-2149.0100000000002</v>
      </c>
      <c r="M10" s="20">
        <v>-3011.62</v>
      </c>
      <c r="N10" s="30"/>
      <c r="O10" s="74">
        <f>U10</f>
        <v>3800.1341666666667</v>
      </c>
      <c r="P10" s="20">
        <v>-3011.62</v>
      </c>
      <c r="Q10" s="37"/>
      <c r="R10" s="61"/>
      <c r="S10" s="61"/>
      <c r="T10" s="61">
        <v>45601.61</v>
      </c>
      <c r="U10" s="61">
        <f>T10/12</f>
        <v>3800.1341666666667</v>
      </c>
    </row>
    <row r="11" spans="1:21" x14ac:dyDescent="0.25">
      <c r="A11" s="1" t="s">
        <v>8</v>
      </c>
      <c r="B11" s="21">
        <f>B9+B10</f>
        <v>25719.18</v>
      </c>
      <c r="C11" s="21">
        <f t="shared" ref="C11:M11" si="0">C9+C10</f>
        <v>29245.360000000001</v>
      </c>
      <c r="D11" s="22">
        <f t="shared" si="0"/>
        <v>37196.33</v>
      </c>
      <c r="E11" s="21">
        <f t="shared" si="0"/>
        <v>32653.200000000001</v>
      </c>
      <c r="F11" s="21">
        <f t="shared" si="0"/>
        <v>31885.83</v>
      </c>
      <c r="G11" s="21">
        <f t="shared" si="0"/>
        <v>31411.72</v>
      </c>
      <c r="H11" s="21">
        <f t="shared" si="0"/>
        <v>31287.53</v>
      </c>
      <c r="I11" s="21">
        <f t="shared" si="0"/>
        <v>36455.11</v>
      </c>
      <c r="J11" s="21">
        <f t="shared" si="0"/>
        <v>34798.92</v>
      </c>
      <c r="K11" s="22">
        <f t="shared" si="0"/>
        <v>43735.89</v>
      </c>
      <c r="L11" s="21">
        <f t="shared" si="0"/>
        <v>36404.559999999998</v>
      </c>
      <c r="M11" s="23">
        <f t="shared" si="0"/>
        <v>56133.95</v>
      </c>
      <c r="N11" s="31"/>
      <c r="O11" s="66">
        <f>O9-O10</f>
        <v>46199.86583333333</v>
      </c>
      <c r="P11" s="11">
        <f t="shared" ref="P11" si="1">P9+P10</f>
        <v>55988.38</v>
      </c>
      <c r="Q11" s="76">
        <f>Q9-O10</f>
        <v>6778.2658333333329</v>
      </c>
      <c r="R11" s="61"/>
    </row>
    <row r="12" spans="1:21" x14ac:dyDescent="0.25">
      <c r="A12" s="6"/>
      <c r="B12" s="18"/>
      <c r="C12" s="18"/>
      <c r="D12" s="19"/>
      <c r="E12" s="18"/>
      <c r="F12" s="18"/>
      <c r="G12" s="18"/>
      <c r="H12" s="18"/>
      <c r="I12" s="18"/>
      <c r="J12" s="18"/>
      <c r="K12" s="19"/>
      <c r="L12" s="18"/>
      <c r="M12" s="20"/>
      <c r="N12" s="30"/>
      <c r="O12" s="8"/>
      <c r="P12" s="8"/>
      <c r="R12" s="61"/>
    </row>
    <row r="13" spans="1:21" x14ac:dyDescent="0.25">
      <c r="A13" s="1" t="s">
        <v>9</v>
      </c>
      <c r="B13" s="21"/>
      <c r="C13" s="21"/>
      <c r="D13" s="22"/>
      <c r="E13" s="21"/>
      <c r="F13" s="21"/>
      <c r="G13" s="21"/>
      <c r="H13" s="21"/>
      <c r="I13" s="21"/>
      <c r="J13" s="21"/>
      <c r="K13" s="19"/>
      <c r="L13" s="18"/>
      <c r="M13" s="20"/>
      <c r="N13" s="30"/>
      <c r="O13" s="8"/>
      <c r="P13" s="8"/>
      <c r="R13" s="61"/>
    </row>
    <row r="14" spans="1:21" x14ac:dyDescent="0.25">
      <c r="A14" s="1" t="s">
        <v>10</v>
      </c>
      <c r="B14" s="18">
        <v>2149.5500000000002</v>
      </c>
      <c r="C14" s="19">
        <v>1912.97</v>
      </c>
      <c r="D14" s="19">
        <v>2763.34</v>
      </c>
      <c r="E14" s="18">
        <v>2423.2299999999996</v>
      </c>
      <c r="F14" s="18">
        <v>2975.96</v>
      </c>
      <c r="G14" s="18">
        <v>2898.9</v>
      </c>
      <c r="H14" s="18">
        <v>2998.34</v>
      </c>
      <c r="I14" s="18">
        <v>3744.16</v>
      </c>
      <c r="J14" s="18">
        <v>3631.38</v>
      </c>
      <c r="K14" s="19">
        <v>5111.8186292697683</v>
      </c>
      <c r="L14" s="18">
        <v>3642.89</v>
      </c>
      <c r="M14" s="20">
        <v>4379</v>
      </c>
      <c r="N14" s="30"/>
      <c r="O14" s="36">
        <f>N15+N16+N17+N18+N21+N22+N23+N24+N25+N26+N27+N29+N30+N31+N32+N33</f>
        <v>4565.1795844298849</v>
      </c>
      <c r="P14" s="10">
        <v>3541.7821573174419</v>
      </c>
      <c r="R14" s="61"/>
      <c r="T14" s="72"/>
    </row>
    <row r="15" spans="1:21" x14ac:dyDescent="0.25">
      <c r="A15" s="6" t="s">
        <v>22</v>
      </c>
      <c r="B15" s="18"/>
      <c r="C15" s="19"/>
      <c r="D15" s="19"/>
      <c r="E15" s="18"/>
      <c r="F15" s="18"/>
      <c r="G15" s="18"/>
      <c r="H15" s="18"/>
      <c r="I15" s="18"/>
      <c r="J15" s="18"/>
      <c r="K15" s="19"/>
      <c r="L15" s="18"/>
      <c r="M15" s="20"/>
      <c r="N15" s="35">
        <f>[1]CHULETAS!$C$21</f>
        <v>1404.5338163609517</v>
      </c>
      <c r="O15" s="10"/>
      <c r="P15" s="37"/>
      <c r="R15" s="61"/>
      <c r="T15" s="72"/>
    </row>
    <row r="16" spans="1:21" x14ac:dyDescent="0.25">
      <c r="A16" s="6" t="s">
        <v>23</v>
      </c>
      <c r="B16" s="18"/>
      <c r="C16" s="19"/>
      <c r="D16" s="19"/>
      <c r="E16" s="18"/>
      <c r="F16" s="18"/>
      <c r="G16" s="18"/>
      <c r="H16" s="18"/>
      <c r="I16" s="18"/>
      <c r="J16" s="18"/>
      <c r="K16" s="19"/>
      <c r="L16" s="18"/>
      <c r="M16" s="20"/>
      <c r="N16" s="35">
        <f>[1]CHURRASCO!$C$21</f>
        <v>285.96554460046718</v>
      </c>
      <c r="O16" s="10"/>
      <c r="P16" s="37"/>
      <c r="R16" s="61"/>
    </row>
    <row r="17" spans="1:23" x14ac:dyDescent="0.25">
      <c r="A17" s="6" t="s">
        <v>69</v>
      </c>
      <c r="B17" s="18"/>
      <c r="C17" s="19"/>
      <c r="D17" s="19"/>
      <c r="E17" s="18"/>
      <c r="F17" s="18"/>
      <c r="G17" s="18"/>
      <c r="H17" s="18"/>
      <c r="I17" s="18"/>
      <c r="J17" s="18"/>
      <c r="K17" s="19"/>
      <c r="L17" s="18"/>
      <c r="M17" s="20"/>
      <c r="N17" s="35">
        <f>'[1]COSTILLAS ASADAS'!$C$21</f>
        <v>391.36151984232163</v>
      </c>
      <c r="O17" s="10"/>
      <c r="P17" s="37"/>
      <c r="R17" s="61"/>
    </row>
    <row r="18" spans="1:23" x14ac:dyDescent="0.25">
      <c r="A18" s="6" t="s">
        <v>24</v>
      </c>
      <c r="B18" s="18"/>
      <c r="C18" s="19"/>
      <c r="D18" s="19"/>
      <c r="E18" s="18"/>
      <c r="F18" s="18"/>
      <c r="G18" s="18"/>
      <c r="H18" s="18"/>
      <c r="I18" s="18"/>
      <c r="J18" s="18"/>
      <c r="K18" s="19"/>
      <c r="L18" s="18"/>
      <c r="M18" s="20"/>
      <c r="N18" s="35">
        <f>'[1]FILETE DE RES '!$C$21</f>
        <v>405.24573992614393</v>
      </c>
      <c r="O18" s="10"/>
      <c r="P18" s="37"/>
      <c r="R18" s="61"/>
      <c r="W18" s="61"/>
    </row>
    <row r="19" spans="1:23" x14ac:dyDescent="0.25">
      <c r="A19" s="6" t="s">
        <v>25</v>
      </c>
      <c r="B19" s="18"/>
      <c r="C19" s="19"/>
      <c r="D19" s="19"/>
      <c r="E19" s="18"/>
      <c r="F19" s="18"/>
      <c r="G19" s="18"/>
      <c r="H19" s="18"/>
      <c r="I19" s="18"/>
      <c r="J19" s="18"/>
      <c r="K19" s="19"/>
      <c r="L19" s="18"/>
      <c r="M19" s="20"/>
      <c r="O19" s="10"/>
      <c r="P19" s="37"/>
      <c r="R19" s="61"/>
    </row>
    <row r="20" spans="1:23" hidden="1" x14ac:dyDescent="0.25">
      <c r="A20" s="6" t="s">
        <v>26</v>
      </c>
      <c r="B20" s="18"/>
      <c r="C20" s="19"/>
      <c r="D20" s="19"/>
      <c r="E20" s="18"/>
      <c r="F20" s="18"/>
      <c r="G20" s="18"/>
      <c r="H20" s="18"/>
      <c r="I20" s="18"/>
      <c r="J20" s="18"/>
      <c r="K20" s="19"/>
      <c r="L20" s="18"/>
      <c r="M20" s="20"/>
      <c r="N20" s="35">
        <f>[2]LOMO!$C$21</f>
        <v>236.51471999999998</v>
      </c>
      <c r="O20" s="10"/>
      <c r="P20" s="37"/>
      <c r="R20" s="61"/>
    </row>
    <row r="21" spans="1:23" x14ac:dyDescent="0.25">
      <c r="A21" s="6" t="s">
        <v>26</v>
      </c>
      <c r="B21" s="18"/>
      <c r="C21" s="19"/>
      <c r="D21" s="19"/>
      <c r="E21" s="18"/>
      <c r="F21" s="18"/>
      <c r="G21" s="18"/>
      <c r="H21" s="18"/>
      <c r="I21" s="18"/>
      <c r="J21" s="18"/>
      <c r="K21" s="19"/>
      <c r="L21" s="18"/>
      <c r="M21" s="20"/>
      <c r="N21" s="35">
        <f>[2]LOMO!$C$21</f>
        <v>236.51471999999998</v>
      </c>
      <c r="O21" s="10"/>
      <c r="P21" s="37"/>
      <c r="R21" s="61"/>
    </row>
    <row r="22" spans="1:23" x14ac:dyDescent="0.25">
      <c r="A22" s="6" t="s">
        <v>27</v>
      </c>
      <c r="B22" s="18"/>
      <c r="C22" s="19"/>
      <c r="D22" s="19"/>
      <c r="E22" s="18"/>
      <c r="F22" s="18"/>
      <c r="G22" s="18"/>
      <c r="H22" s="18"/>
      <c r="I22" s="18"/>
      <c r="J22" s="18"/>
      <c r="K22" s="19"/>
      <c r="L22" s="18"/>
      <c r="M22" s="20"/>
      <c r="N22" s="35">
        <f>[2]LENGUA!$C$21</f>
        <v>184.98886559999997</v>
      </c>
      <c r="O22" s="10"/>
      <c r="P22" s="37"/>
      <c r="R22" s="61"/>
    </row>
    <row r="23" spans="1:23" x14ac:dyDescent="0.25">
      <c r="A23" s="6" t="s">
        <v>28</v>
      </c>
      <c r="B23" s="18"/>
      <c r="C23" s="19"/>
      <c r="D23" s="19"/>
      <c r="E23" s="18"/>
      <c r="F23" s="18"/>
      <c r="G23" s="18"/>
      <c r="H23" s="18"/>
      <c r="I23" s="18"/>
      <c r="J23" s="18"/>
      <c r="K23" s="19"/>
      <c r="L23" s="18"/>
      <c r="M23" s="20"/>
      <c r="N23" s="35">
        <f>'[2]COSTILLA HORNO'!$C$21</f>
        <v>390.35299160000005</v>
      </c>
      <c r="O23" s="10"/>
      <c r="P23" s="37"/>
      <c r="R23" s="61"/>
    </row>
    <row r="24" spans="1:23" x14ac:dyDescent="0.25">
      <c r="A24" s="6" t="s">
        <v>29</v>
      </c>
      <c r="B24" s="18"/>
      <c r="C24" s="19"/>
      <c r="D24" s="19"/>
      <c r="E24" s="18"/>
      <c r="F24" s="18"/>
      <c r="G24" s="18"/>
      <c r="H24" s="18"/>
      <c r="I24" s="18"/>
      <c r="J24" s="18"/>
      <c r="K24" s="19"/>
      <c r="L24" s="18"/>
      <c r="M24" s="20"/>
      <c r="N24" s="35">
        <f>'[2]BISTEC PICADO'!$C$21</f>
        <v>253.56175200000004</v>
      </c>
      <c r="O24" s="10"/>
      <c r="P24" s="37"/>
      <c r="R24" s="61"/>
    </row>
    <row r="25" spans="1:23" x14ac:dyDescent="0.25">
      <c r="A25" s="6" t="s">
        <v>122</v>
      </c>
      <c r="B25" s="18"/>
      <c r="C25" s="19"/>
      <c r="D25" s="19"/>
      <c r="E25" s="18"/>
      <c r="F25" s="18"/>
      <c r="G25" s="18"/>
      <c r="H25" s="18"/>
      <c r="I25" s="18"/>
      <c r="J25" s="18"/>
      <c r="K25" s="19"/>
      <c r="L25" s="18"/>
      <c r="M25" s="20"/>
      <c r="N25" s="35">
        <v>55</v>
      </c>
      <c r="O25" s="10"/>
      <c r="P25" s="37"/>
      <c r="R25" s="61"/>
    </row>
    <row r="26" spans="1:23" x14ac:dyDescent="0.25">
      <c r="A26" s="6" t="s">
        <v>30</v>
      </c>
      <c r="B26" s="18"/>
      <c r="C26" s="19"/>
      <c r="D26" s="19"/>
      <c r="E26" s="18"/>
      <c r="F26" s="18"/>
      <c r="G26" s="18"/>
      <c r="H26" s="18"/>
      <c r="I26" s="18"/>
      <c r="J26" s="18"/>
      <c r="K26" s="19"/>
      <c r="L26" s="18"/>
      <c r="M26" s="20"/>
      <c r="N26" s="35">
        <f>'[2]CARNE GUISADA'!$C$21</f>
        <v>155.53525750000003</v>
      </c>
      <c r="O26" s="10"/>
      <c r="P26" s="37"/>
      <c r="R26" s="61"/>
    </row>
    <row r="27" spans="1:23" x14ac:dyDescent="0.25">
      <c r="A27" s="6" t="s">
        <v>31</v>
      </c>
      <c r="B27" s="18"/>
      <c r="C27" s="19"/>
      <c r="D27" s="19"/>
      <c r="E27" s="18"/>
      <c r="F27" s="18"/>
      <c r="G27" s="18"/>
      <c r="H27" s="18"/>
      <c r="I27" s="18"/>
      <c r="J27" s="18"/>
      <c r="K27" s="19"/>
      <c r="L27" s="18"/>
      <c r="M27" s="20"/>
      <c r="N27" s="35">
        <f>[2]MONDONGO!$C$21</f>
        <v>47.804303999999995</v>
      </c>
      <c r="O27" s="10"/>
      <c r="P27" s="37"/>
    </row>
    <row r="28" spans="1:23" x14ac:dyDescent="0.25">
      <c r="A28" s="6" t="s">
        <v>32</v>
      </c>
      <c r="B28" s="18"/>
      <c r="C28" s="19"/>
      <c r="D28" s="19"/>
      <c r="E28" s="18"/>
      <c r="F28" s="18"/>
      <c r="G28" s="18"/>
      <c r="H28" s="18"/>
      <c r="I28" s="18"/>
      <c r="J28" s="18"/>
      <c r="K28" s="19"/>
      <c r="L28" s="18"/>
      <c r="M28" s="20"/>
      <c r="N28" s="35"/>
      <c r="O28" s="10"/>
      <c r="P28" s="37"/>
    </row>
    <row r="29" spans="1:23" x14ac:dyDescent="0.25">
      <c r="A29" s="6" t="s">
        <v>33</v>
      </c>
      <c r="B29" s="18"/>
      <c r="C29" s="19"/>
      <c r="D29" s="19"/>
      <c r="E29" s="18"/>
      <c r="F29" s="18"/>
      <c r="G29" s="18"/>
      <c r="H29" s="18"/>
      <c r="I29" s="18"/>
      <c r="J29" s="18"/>
      <c r="K29" s="19"/>
      <c r="L29" s="18"/>
      <c r="M29" s="20"/>
      <c r="N29" s="35">
        <f>'[3]COSTILLA FRITA'!$C$21</f>
        <v>226.64542080000004</v>
      </c>
      <c r="O29" s="10"/>
      <c r="P29" s="37"/>
    </row>
    <row r="30" spans="1:23" x14ac:dyDescent="0.25">
      <c r="A30" s="6" t="s">
        <v>123</v>
      </c>
      <c r="B30" s="18"/>
      <c r="C30" s="19"/>
      <c r="D30" s="19"/>
      <c r="E30" s="18"/>
      <c r="F30" s="18"/>
      <c r="G30" s="18"/>
      <c r="H30" s="18"/>
      <c r="I30" s="18"/>
      <c r="J30" s="18"/>
      <c r="K30" s="19"/>
      <c r="L30" s="18"/>
      <c r="M30" s="20"/>
      <c r="N30" s="35">
        <v>55</v>
      </c>
      <c r="O30" s="10"/>
      <c r="P30" s="37"/>
    </row>
    <row r="31" spans="1:23" x14ac:dyDescent="0.25">
      <c r="A31" s="6" t="s">
        <v>34</v>
      </c>
      <c r="B31" s="18"/>
      <c r="C31" s="19"/>
      <c r="D31" s="19"/>
      <c r="E31" s="18"/>
      <c r="F31" s="18"/>
      <c r="G31" s="18"/>
      <c r="H31" s="18"/>
      <c r="I31" s="18"/>
      <c r="J31" s="18"/>
      <c r="K31" s="19"/>
      <c r="L31" s="18"/>
      <c r="M31" s="20"/>
      <c r="N31" s="35">
        <f>[3]HIGADO!$C$21</f>
        <v>78.967625000000012</v>
      </c>
      <c r="O31" s="10"/>
      <c r="P31" s="37"/>
    </row>
    <row r="32" spans="1:23" x14ac:dyDescent="0.25">
      <c r="A32" s="6" t="s">
        <v>124</v>
      </c>
      <c r="B32" s="18"/>
      <c r="C32" s="19"/>
      <c r="D32" s="19"/>
      <c r="E32" s="18"/>
      <c r="F32" s="18"/>
      <c r="G32" s="18"/>
      <c r="H32" s="18"/>
      <c r="I32" s="18"/>
      <c r="J32" s="18"/>
      <c r="K32" s="19"/>
      <c r="L32" s="18"/>
      <c r="M32" s="20"/>
      <c r="N32" s="35">
        <v>200</v>
      </c>
      <c r="O32" s="10"/>
      <c r="P32" s="37"/>
    </row>
    <row r="33" spans="1:16" x14ac:dyDescent="0.25">
      <c r="A33" s="6" t="s">
        <v>35</v>
      </c>
      <c r="B33" s="18"/>
      <c r="C33" s="19"/>
      <c r="D33" s="19"/>
      <c r="E33" s="18"/>
      <c r="F33" s="18"/>
      <c r="G33" s="18"/>
      <c r="H33" s="18"/>
      <c r="I33" s="18"/>
      <c r="J33" s="18"/>
      <c r="K33" s="19"/>
      <c r="L33" s="18"/>
      <c r="M33" s="20"/>
      <c r="N33" s="35">
        <f>[3]BOFE!$C$21</f>
        <v>193.70202719999997</v>
      </c>
      <c r="O33" s="10"/>
      <c r="P33" s="37"/>
    </row>
    <row r="34" spans="1:16" x14ac:dyDescent="0.25">
      <c r="A34" s="6"/>
      <c r="B34" s="18"/>
      <c r="C34" s="19"/>
      <c r="D34" s="19"/>
      <c r="E34" s="18"/>
      <c r="F34" s="18"/>
      <c r="G34" s="18"/>
      <c r="H34" s="18"/>
      <c r="I34" s="18"/>
      <c r="J34" s="18"/>
      <c r="K34" s="19"/>
      <c r="L34" s="18"/>
      <c r="M34" s="20"/>
      <c r="N34" s="35"/>
      <c r="O34" s="10"/>
      <c r="P34" s="37"/>
    </row>
    <row r="35" spans="1:16" x14ac:dyDescent="0.25">
      <c r="A35" s="1" t="s">
        <v>11</v>
      </c>
      <c r="B35" s="18">
        <v>243.92</v>
      </c>
      <c r="C35" s="18">
        <v>35</v>
      </c>
      <c r="D35" s="19">
        <v>660.61</v>
      </c>
      <c r="E35" s="18">
        <v>718.71</v>
      </c>
      <c r="F35" s="18">
        <v>327.19</v>
      </c>
      <c r="G35" s="18">
        <v>229.55</v>
      </c>
      <c r="H35" s="18">
        <v>407.15</v>
      </c>
      <c r="I35" s="18">
        <v>404.81</v>
      </c>
      <c r="J35" s="18">
        <v>571.52</v>
      </c>
      <c r="K35" s="19">
        <v>255.26236275859824</v>
      </c>
      <c r="L35" s="19">
        <v>217.47</v>
      </c>
      <c r="M35" s="24">
        <v>233.47</v>
      </c>
      <c r="N35" s="32"/>
      <c r="O35" s="36">
        <f>SUM(N36:N38)+150</f>
        <v>635.81055600000002</v>
      </c>
      <c r="P35" s="10">
        <v>210.16</v>
      </c>
    </row>
    <row r="36" spans="1:16" x14ac:dyDescent="0.25">
      <c r="A36" s="6" t="s">
        <v>36</v>
      </c>
      <c r="B36" s="18"/>
      <c r="C36" s="18"/>
      <c r="D36" s="19"/>
      <c r="E36" s="18"/>
      <c r="F36" s="18"/>
      <c r="G36" s="18"/>
      <c r="H36" s="18"/>
      <c r="I36" s="18"/>
      <c r="J36" s="18"/>
      <c r="K36" s="19"/>
      <c r="L36" s="19"/>
      <c r="M36" s="24"/>
      <c r="N36" s="35">
        <f>'[2]FILETE DE PESCADO'!$C$21</f>
        <v>283.16468399999997</v>
      </c>
      <c r="O36" s="10"/>
      <c r="P36" s="37"/>
    </row>
    <row r="37" spans="1:16" x14ac:dyDescent="0.25">
      <c r="A37" s="6" t="s">
        <v>37</v>
      </c>
      <c r="B37" s="18"/>
      <c r="C37" s="18"/>
      <c r="D37" s="19"/>
      <c r="E37" s="18"/>
      <c r="F37" s="18"/>
      <c r="G37" s="18"/>
      <c r="H37" s="18"/>
      <c r="I37" s="18"/>
      <c r="J37" s="18"/>
      <c r="K37" s="19"/>
      <c r="L37" s="19"/>
      <c r="M37" s="24"/>
      <c r="N37" s="35">
        <f>[2]CORVINA!$C$22</f>
        <v>75.132288000000017</v>
      </c>
      <c r="O37" s="10"/>
      <c r="P37" s="37"/>
    </row>
    <row r="38" spans="1:16" x14ac:dyDescent="0.25">
      <c r="A38" s="6" t="s">
        <v>38</v>
      </c>
      <c r="B38" s="18"/>
      <c r="C38" s="18"/>
      <c r="D38" s="19"/>
      <c r="E38" s="18"/>
      <c r="F38" s="18"/>
      <c r="G38" s="18"/>
      <c r="H38" s="18"/>
      <c r="I38" s="18"/>
      <c r="J38" s="18"/>
      <c r="K38" s="19"/>
      <c r="L38" s="19"/>
      <c r="M38" s="24"/>
      <c r="N38" s="35">
        <f>[2]BACALAO!$C$21</f>
        <v>127.51358400000001</v>
      </c>
      <c r="O38" s="10"/>
      <c r="P38" s="37"/>
    </row>
    <row r="39" spans="1:16" x14ac:dyDescent="0.25">
      <c r="A39" s="6"/>
      <c r="B39" s="18"/>
      <c r="C39" s="18"/>
      <c r="D39" s="19"/>
      <c r="E39" s="18"/>
      <c r="F39" s="18"/>
      <c r="G39" s="18"/>
      <c r="H39" s="18"/>
      <c r="I39" s="18"/>
      <c r="J39" s="18"/>
      <c r="K39" s="19"/>
      <c r="L39" s="19"/>
      <c r="M39" s="24"/>
      <c r="N39" s="32"/>
      <c r="O39" s="10"/>
      <c r="P39" s="37"/>
    </row>
    <row r="40" spans="1:16" x14ac:dyDescent="0.25">
      <c r="A40" s="1" t="s">
        <v>12</v>
      </c>
      <c r="B40" s="18">
        <v>2737.95</v>
      </c>
      <c r="C40" s="18">
        <v>4080.58</v>
      </c>
      <c r="D40" s="19">
        <v>4712.83</v>
      </c>
      <c r="E40" s="18">
        <v>4507.88</v>
      </c>
      <c r="F40" s="18">
        <v>3669.39</v>
      </c>
      <c r="G40" s="18">
        <v>3739.36</v>
      </c>
      <c r="H40" s="18">
        <v>3624.15</v>
      </c>
      <c r="I40" s="19">
        <v>4356.6400000000003</v>
      </c>
      <c r="J40" s="18">
        <v>4446.79</v>
      </c>
      <c r="K40" s="19">
        <v>467.17437702065013</v>
      </c>
      <c r="L40" s="18">
        <v>5278.2</v>
      </c>
      <c r="M40" s="24">
        <v>5977.99</v>
      </c>
      <c r="N40" s="32"/>
      <c r="O40" s="36">
        <f>SUM(N41:N43)</f>
        <v>4323.9313217709532</v>
      </c>
      <c r="P40" s="10">
        <v>4058.8600000000006</v>
      </c>
    </row>
    <row r="41" spans="1:16" x14ac:dyDescent="0.25">
      <c r="A41" s="6" t="s">
        <v>41</v>
      </c>
      <c r="B41" s="18"/>
      <c r="C41" s="18"/>
      <c r="D41" s="19"/>
      <c r="E41" s="18"/>
      <c r="F41" s="18"/>
      <c r="G41" s="18"/>
      <c r="H41" s="18"/>
      <c r="I41" s="19"/>
      <c r="J41" s="18"/>
      <c r="K41" s="19"/>
      <c r="L41" s="18"/>
      <c r="M41" s="24"/>
      <c r="N41" s="35">
        <f>'[1]POLLO calculo'!$B$18</f>
        <v>4131.6058224107055</v>
      </c>
      <c r="O41" s="10"/>
      <c r="P41" s="37"/>
    </row>
    <row r="42" spans="1:16" x14ac:dyDescent="0.25">
      <c r="A42" s="6" t="s">
        <v>39</v>
      </c>
      <c r="B42" s="18"/>
      <c r="C42" s="18"/>
      <c r="D42" s="19"/>
      <c r="E42" s="18"/>
      <c r="F42" s="18"/>
      <c r="G42" s="18"/>
      <c r="H42" s="18"/>
      <c r="I42" s="19"/>
      <c r="J42" s="18"/>
      <c r="K42" s="19"/>
      <c r="L42" s="18"/>
      <c r="M42" s="24"/>
      <c r="N42" s="35">
        <f>'[1]FILETE DE PECHUGA'!$C$22</f>
        <v>90.54020457368722</v>
      </c>
      <c r="O42" s="10"/>
      <c r="P42" s="37"/>
    </row>
    <row r="43" spans="1:16" x14ac:dyDescent="0.25">
      <c r="A43" s="6" t="s">
        <v>40</v>
      </c>
      <c r="B43" s="18"/>
      <c r="C43" s="18"/>
      <c r="D43" s="19"/>
      <c r="E43" s="18"/>
      <c r="F43" s="18"/>
      <c r="G43" s="18"/>
      <c r="H43" s="18"/>
      <c r="I43" s="19"/>
      <c r="J43" s="18"/>
      <c r="K43" s="19"/>
      <c r="L43" s="18"/>
      <c r="M43" s="24"/>
      <c r="N43" s="35">
        <f>'[2]FILETE PECHUGA '!$C$22</f>
        <v>101.78529478656002</v>
      </c>
      <c r="O43" s="10"/>
      <c r="P43" s="37"/>
    </row>
    <row r="44" spans="1:16" x14ac:dyDescent="0.25">
      <c r="A44" s="6"/>
      <c r="B44" s="18"/>
      <c r="C44" s="18"/>
      <c r="D44" s="19"/>
      <c r="E44" s="18"/>
      <c r="F44" s="18"/>
      <c r="G44" s="18"/>
      <c r="H44" s="18"/>
      <c r="I44" s="19"/>
      <c r="J44" s="18"/>
      <c r="K44" s="19"/>
      <c r="L44" s="18"/>
      <c r="M44" s="24"/>
      <c r="N44" s="35"/>
      <c r="O44" s="10"/>
      <c r="P44" s="37"/>
    </row>
    <row r="45" spans="1:16" x14ac:dyDescent="0.25">
      <c r="A45" s="1" t="s">
        <v>13</v>
      </c>
      <c r="B45" s="18">
        <v>3579.56</v>
      </c>
      <c r="C45" s="18">
        <v>3070.83</v>
      </c>
      <c r="D45" s="19">
        <v>3453.6</v>
      </c>
      <c r="E45" s="18">
        <v>1513.71</v>
      </c>
      <c r="F45" s="18">
        <v>1820.39</v>
      </c>
      <c r="G45" s="18">
        <v>1993.32</v>
      </c>
      <c r="H45" s="18">
        <v>3016.66</v>
      </c>
      <c r="I45" s="18">
        <v>2132.0700000000002</v>
      </c>
      <c r="J45" s="19">
        <v>2803.97</v>
      </c>
      <c r="K45" s="19">
        <v>4239.0395064150953</v>
      </c>
      <c r="L45" s="18">
        <v>2920.89</v>
      </c>
      <c r="M45" s="24">
        <v>3103.51</v>
      </c>
      <c r="N45" s="32"/>
      <c r="O45" s="36">
        <f>SUM(N46:N56)</f>
        <v>1564.0176949812571</v>
      </c>
      <c r="P45" s="10">
        <v>2462.5625</v>
      </c>
    </row>
    <row r="46" spans="1:16" x14ac:dyDescent="0.25">
      <c r="A46" s="6" t="s">
        <v>42</v>
      </c>
      <c r="B46" s="18"/>
      <c r="C46" s="18"/>
      <c r="D46" s="19"/>
      <c r="E46" s="18"/>
      <c r="F46" s="18"/>
      <c r="G46" s="18"/>
      <c r="H46" s="18"/>
      <c r="I46" s="18"/>
      <c r="J46" s="19"/>
      <c r="K46" s="19"/>
      <c r="L46" s="18"/>
      <c r="M46" s="24"/>
      <c r="N46" s="35">
        <f>[4]ARROZ!$E$21</f>
        <v>287.5</v>
      </c>
      <c r="O46" s="10"/>
      <c r="P46" s="37"/>
    </row>
    <row r="47" spans="1:16" x14ac:dyDescent="0.25">
      <c r="A47" s="6" t="s">
        <v>43</v>
      </c>
      <c r="B47" s="18"/>
      <c r="C47" s="18"/>
      <c r="D47" s="19"/>
      <c r="E47" s="18"/>
      <c r="F47" s="18"/>
      <c r="G47" s="18"/>
      <c r="H47" s="18"/>
      <c r="I47" s="18"/>
      <c r="J47" s="19"/>
      <c r="K47" s="19"/>
      <c r="L47" s="18"/>
      <c r="M47" s="24"/>
      <c r="N47" s="35">
        <f>[4]ARROZ!$D$21</f>
        <v>222.75</v>
      </c>
      <c r="O47" s="10"/>
      <c r="P47" s="37"/>
    </row>
    <row r="48" spans="1:16" x14ac:dyDescent="0.25">
      <c r="A48" s="6" t="s">
        <v>44</v>
      </c>
      <c r="B48" s="18"/>
      <c r="C48" s="18"/>
      <c r="D48" s="19"/>
      <c r="E48" s="18"/>
      <c r="F48" s="18"/>
      <c r="G48" s="18"/>
      <c r="H48" s="18"/>
      <c r="I48" s="18"/>
      <c r="J48" s="19"/>
      <c r="K48" s="19"/>
      <c r="L48" s="18"/>
      <c r="M48" s="24"/>
      <c r="N48" s="35">
        <f>'[1]chorizo parrilla '!$C$21</f>
        <v>134.16826069554287</v>
      </c>
      <c r="O48" s="10"/>
      <c r="P48" s="37"/>
    </row>
    <row r="49" spans="1:16" x14ac:dyDescent="0.25">
      <c r="A49" s="6" t="s">
        <v>45</v>
      </c>
      <c r="B49" s="18"/>
      <c r="C49" s="18"/>
      <c r="D49" s="19"/>
      <c r="E49" s="18"/>
      <c r="F49" s="18"/>
      <c r="G49" s="18"/>
      <c r="H49" s="18"/>
      <c r="I49" s="18"/>
      <c r="J49" s="19"/>
      <c r="K49" s="19"/>
      <c r="L49" s="18"/>
      <c r="M49" s="24"/>
      <c r="N49" s="35"/>
      <c r="O49" s="10"/>
      <c r="P49" s="37"/>
    </row>
    <row r="50" spans="1:16" x14ac:dyDescent="0.25">
      <c r="A50" s="6" t="s">
        <v>46</v>
      </c>
      <c r="B50" s="18"/>
      <c r="C50" s="18"/>
      <c r="D50" s="19"/>
      <c r="E50" s="18"/>
      <c r="F50" s="18"/>
      <c r="G50" s="18"/>
      <c r="H50" s="18"/>
      <c r="I50" s="18"/>
      <c r="J50" s="19"/>
      <c r="K50" s="19"/>
      <c r="L50" s="18"/>
      <c r="M50" s="24"/>
      <c r="N50" s="35">
        <f>[3]ALMOJABANO!$C$20</f>
        <v>5.9550000000000001</v>
      </c>
      <c r="O50" s="10"/>
      <c r="P50" s="37"/>
    </row>
    <row r="51" spans="1:16" x14ac:dyDescent="0.25">
      <c r="A51" s="6" t="s">
        <v>47</v>
      </c>
      <c r="B51" s="18"/>
      <c r="C51" s="18"/>
      <c r="D51" s="19"/>
      <c r="E51" s="18"/>
      <c r="F51" s="18"/>
      <c r="G51" s="18"/>
      <c r="H51" s="18"/>
      <c r="I51" s="18"/>
      <c r="J51" s="19"/>
      <c r="K51" s="19"/>
      <c r="L51" s="18"/>
      <c r="M51" s="24"/>
      <c r="N51" s="35">
        <f>'[3]SALCHICHA GUI'!$C$22</f>
        <v>51.024819999999998</v>
      </c>
      <c r="O51" s="10"/>
      <c r="P51" s="37"/>
    </row>
    <row r="52" spans="1:16" x14ac:dyDescent="0.25">
      <c r="A52" s="6" t="s">
        <v>48</v>
      </c>
      <c r="B52" s="18"/>
      <c r="C52" s="18"/>
      <c r="D52" s="19"/>
      <c r="E52" s="18"/>
      <c r="F52" s="18"/>
      <c r="G52" s="18"/>
      <c r="H52" s="18"/>
      <c r="I52" s="18"/>
      <c r="J52" s="19"/>
      <c r="K52" s="19"/>
      <c r="L52" s="18"/>
      <c r="M52" s="24"/>
      <c r="N52" s="35">
        <f>[3]BOLLO!$C$20</f>
        <v>157.642</v>
      </c>
      <c r="O52" s="10"/>
      <c r="P52" s="37"/>
    </row>
    <row r="53" spans="1:16" x14ac:dyDescent="0.25">
      <c r="A53" s="6" t="s">
        <v>49</v>
      </c>
      <c r="B53" s="18"/>
      <c r="C53" s="18"/>
      <c r="D53" s="19"/>
      <c r="E53" s="18"/>
      <c r="F53" s="18"/>
      <c r="G53" s="18"/>
      <c r="H53" s="18"/>
      <c r="I53" s="18"/>
      <c r="J53" s="19"/>
      <c r="K53" s="19"/>
      <c r="L53" s="18"/>
      <c r="M53" s="24"/>
      <c r="N53" s="35">
        <f>[3]CARIMAÑOLA!$C$20</f>
        <v>60.782559999999989</v>
      </c>
      <c r="O53" s="10"/>
      <c r="P53" s="37"/>
    </row>
    <row r="54" spans="1:16" x14ac:dyDescent="0.25">
      <c r="A54" s="6" t="s">
        <v>50</v>
      </c>
      <c r="B54" s="18"/>
      <c r="C54" s="18"/>
      <c r="D54" s="19"/>
      <c r="E54" s="18"/>
      <c r="F54" s="18"/>
      <c r="G54" s="18"/>
      <c r="H54" s="18"/>
      <c r="I54" s="18"/>
      <c r="J54" s="19"/>
      <c r="K54" s="19"/>
      <c r="L54" s="18"/>
      <c r="M54" s="24"/>
      <c r="N54" s="35">
        <f>[3]TORTILLA!$C$20</f>
        <v>52.402740000000009</v>
      </c>
      <c r="O54" s="10"/>
      <c r="P54" s="37"/>
    </row>
    <row r="55" spans="1:16" x14ac:dyDescent="0.25">
      <c r="A55" s="6" t="s">
        <v>51</v>
      </c>
      <c r="B55" s="18"/>
      <c r="C55" s="18"/>
      <c r="D55" s="19"/>
      <c r="E55" s="18"/>
      <c r="F55" s="18"/>
      <c r="G55" s="18"/>
      <c r="H55" s="18"/>
      <c r="I55" s="18"/>
      <c r="J55" s="19"/>
      <c r="K55" s="19"/>
      <c r="L55" s="18"/>
      <c r="M55" s="24"/>
      <c r="N55" s="35">
        <f>'[3]EMP DE MAIZ'!$C$20</f>
        <v>41.792314285714284</v>
      </c>
      <c r="O55" s="10"/>
      <c r="P55" s="37"/>
    </row>
    <row r="56" spans="1:16" x14ac:dyDescent="0.25">
      <c r="A56" s="6" t="s">
        <v>125</v>
      </c>
      <c r="N56" s="80">
        <v>550</v>
      </c>
      <c r="O56" s="10"/>
      <c r="P56" s="37"/>
    </row>
    <row r="57" spans="1:16" x14ac:dyDescent="0.25">
      <c r="A57" s="6"/>
      <c r="B57" s="18"/>
      <c r="C57" s="18"/>
      <c r="D57" s="19"/>
      <c r="E57" s="18"/>
      <c r="F57" s="18"/>
      <c r="G57" s="18"/>
      <c r="H57" s="18"/>
      <c r="I57" s="18"/>
      <c r="J57" s="19"/>
      <c r="K57" s="19"/>
      <c r="L57" s="18"/>
      <c r="M57" s="24"/>
      <c r="N57" s="32"/>
      <c r="O57" s="10"/>
      <c r="P57" s="37"/>
    </row>
    <row r="58" spans="1:16" x14ac:dyDescent="0.25">
      <c r="A58" s="1" t="s">
        <v>14</v>
      </c>
      <c r="B58" s="18">
        <v>722.68</v>
      </c>
      <c r="C58" s="18">
        <v>1144.8</v>
      </c>
      <c r="D58" s="19">
        <v>1890.29</v>
      </c>
      <c r="E58" s="18">
        <v>1678</v>
      </c>
      <c r="F58" s="18">
        <v>1942.11</v>
      </c>
      <c r="G58" s="18">
        <v>1579.19</v>
      </c>
      <c r="H58" s="18">
        <v>962.47</v>
      </c>
      <c r="I58" s="19">
        <v>2453.66</v>
      </c>
      <c r="J58" s="18">
        <v>1489.57</v>
      </c>
      <c r="K58" s="19">
        <v>3194.5462342750257</v>
      </c>
      <c r="L58" s="18">
        <v>2667.67</v>
      </c>
      <c r="M58" s="24">
        <v>2935.09</v>
      </c>
      <c r="N58" s="32"/>
      <c r="O58" s="36">
        <f>N59+N60</f>
        <v>2526.2252885286666</v>
      </c>
      <c r="P58" s="10">
        <v>2337.2066666666665</v>
      </c>
    </row>
    <row r="59" spans="1:16" x14ac:dyDescent="0.25">
      <c r="A59" s="6" t="s">
        <v>52</v>
      </c>
      <c r="B59" s="18"/>
      <c r="C59" s="18"/>
      <c r="D59" s="19"/>
      <c r="E59" s="18"/>
      <c r="F59" s="18"/>
      <c r="G59" s="18"/>
      <c r="H59" s="18"/>
      <c r="I59" s="19"/>
      <c r="J59" s="18"/>
      <c r="K59" s="19"/>
      <c r="L59" s="18"/>
      <c r="M59" s="24"/>
      <c r="N59" s="32">
        <f>[1]SODAS!$B$21</f>
        <v>1826.2252885286666</v>
      </c>
      <c r="O59" s="10"/>
      <c r="P59" s="37"/>
    </row>
    <row r="60" spans="1:16" x14ac:dyDescent="0.25">
      <c r="A60" s="6" t="s">
        <v>126</v>
      </c>
      <c r="B60" s="18"/>
      <c r="C60" s="18"/>
      <c r="D60" s="19"/>
      <c r="E60" s="18"/>
      <c r="F60" s="18"/>
      <c r="G60" s="18"/>
      <c r="H60" s="18"/>
      <c r="I60" s="19"/>
      <c r="J60" s="18"/>
      <c r="K60" s="19"/>
      <c r="L60" s="18"/>
      <c r="M60" s="24"/>
      <c r="N60" s="32">
        <v>700</v>
      </c>
      <c r="O60" s="10"/>
      <c r="P60" s="37"/>
    </row>
    <row r="61" spans="1:16" x14ac:dyDescent="0.25">
      <c r="A61" s="6"/>
      <c r="B61" s="18"/>
      <c r="C61" s="18"/>
      <c r="D61" s="19"/>
      <c r="E61" s="18"/>
      <c r="F61" s="18"/>
      <c r="G61" s="18"/>
      <c r="H61" s="18"/>
      <c r="I61" s="19"/>
      <c r="J61" s="18"/>
      <c r="K61" s="19"/>
      <c r="L61" s="18"/>
      <c r="M61" s="24"/>
      <c r="N61" s="32"/>
      <c r="O61" s="10"/>
      <c r="P61" s="37"/>
    </row>
    <row r="62" spans="1:16" x14ac:dyDescent="0.25">
      <c r="A62" s="1" t="s">
        <v>15</v>
      </c>
      <c r="B62" s="19">
        <v>1245.95</v>
      </c>
      <c r="C62" s="18">
        <v>1772.34</v>
      </c>
      <c r="D62" s="19">
        <v>1862.83</v>
      </c>
      <c r="E62" s="18">
        <v>1716.57</v>
      </c>
      <c r="F62" s="18">
        <v>2333.2399999999998</v>
      </c>
      <c r="G62" s="18">
        <v>1758.47</v>
      </c>
      <c r="H62" s="18">
        <v>1946.78</v>
      </c>
      <c r="I62" s="18">
        <v>1940.83</v>
      </c>
      <c r="J62" s="18">
        <v>2172.69</v>
      </c>
      <c r="K62" s="19">
        <v>606.87527816742409</v>
      </c>
      <c r="L62" s="18">
        <v>551.74</v>
      </c>
      <c r="M62" s="25">
        <v>1401.58</v>
      </c>
      <c r="N62" s="33"/>
      <c r="O62" s="10">
        <v>950</v>
      </c>
      <c r="P62" s="10">
        <v>1279.3088195418559</v>
      </c>
    </row>
    <row r="63" spans="1:16" x14ac:dyDescent="0.25">
      <c r="A63" s="1" t="s">
        <v>16</v>
      </c>
      <c r="B63" s="18">
        <v>396.48</v>
      </c>
      <c r="C63" s="18"/>
      <c r="D63" s="19">
        <v>355.66</v>
      </c>
      <c r="E63" s="18">
        <v>406.74</v>
      </c>
      <c r="F63" s="18">
        <v>445.62</v>
      </c>
      <c r="G63" s="18">
        <v>437.82</v>
      </c>
      <c r="H63" s="18">
        <v>390.92</v>
      </c>
      <c r="I63" s="18">
        <v>745.22</v>
      </c>
      <c r="J63" s="18">
        <v>1216.1099999999999</v>
      </c>
      <c r="K63" s="19">
        <v>3397.5336120934389</v>
      </c>
      <c r="L63" s="19">
        <v>2640.17</v>
      </c>
      <c r="M63" s="24">
        <v>3836.56</v>
      </c>
      <c r="N63" s="32"/>
      <c r="O63" s="10">
        <f>SUM(N64:N69)</f>
        <v>3546.8975534787924</v>
      </c>
      <c r="P63" s="10">
        <v>3291.4212040311463</v>
      </c>
    </row>
    <row r="64" spans="1:16" x14ac:dyDescent="0.25">
      <c r="A64" s="6" t="s">
        <v>53</v>
      </c>
      <c r="B64" s="18"/>
      <c r="C64" s="18"/>
      <c r="D64" s="19"/>
      <c r="E64" s="18"/>
      <c r="F64" s="18"/>
      <c r="G64" s="18"/>
      <c r="H64" s="18"/>
      <c r="I64" s="18"/>
      <c r="J64" s="18"/>
      <c r="K64" s="19"/>
      <c r="L64" s="19"/>
      <c r="M64" s="24"/>
      <c r="N64" s="32">
        <f>[1]ARROZ!$B$21</f>
        <v>922.40603808326387</v>
      </c>
      <c r="O64" s="10"/>
      <c r="P64" s="37"/>
    </row>
    <row r="65" spans="1:20" x14ac:dyDescent="0.25">
      <c r="A65" s="6" t="s">
        <v>54</v>
      </c>
      <c r="B65" s="18"/>
      <c r="C65" s="18"/>
      <c r="D65" s="19"/>
      <c r="E65" s="18"/>
      <c r="F65" s="18"/>
      <c r="G65" s="18"/>
      <c r="H65" s="18"/>
      <c r="I65" s="18"/>
      <c r="J65" s="18"/>
      <c r="K65" s="19"/>
      <c r="L65" s="19"/>
      <c r="M65" s="24"/>
      <c r="N65" s="32">
        <f>[1]CHIMICHURRI!$B$20</f>
        <v>335.81107742382073</v>
      </c>
      <c r="O65" s="10"/>
      <c r="P65" s="37"/>
    </row>
    <row r="66" spans="1:20" x14ac:dyDescent="0.25">
      <c r="A66" s="6" t="s">
        <v>55</v>
      </c>
      <c r="B66" s="18"/>
      <c r="C66" s="18"/>
      <c r="D66" s="19"/>
      <c r="E66" s="18"/>
      <c r="F66" s="18"/>
      <c r="G66" s="18"/>
      <c r="H66" s="18"/>
      <c r="I66" s="18"/>
      <c r="J66" s="18"/>
      <c r="K66" s="19"/>
      <c r="L66" s="19"/>
      <c r="M66" s="24"/>
      <c r="N66" s="32">
        <f>[1]PATACONES!$B$21</f>
        <v>286.34869827170741</v>
      </c>
      <c r="O66" s="10"/>
      <c r="P66" s="37"/>
    </row>
    <row r="67" spans="1:20" x14ac:dyDescent="0.25">
      <c r="A67" s="6" t="s">
        <v>76</v>
      </c>
      <c r="B67" s="18"/>
      <c r="C67" s="18"/>
      <c r="D67" s="19"/>
      <c r="E67" s="18"/>
      <c r="F67" s="18"/>
      <c r="G67" s="18"/>
      <c r="H67" s="18"/>
      <c r="I67" s="18"/>
      <c r="J67" s="18"/>
      <c r="K67" s="19"/>
      <c r="L67" s="19"/>
      <c r="M67" s="24"/>
      <c r="N67" s="32">
        <f>[1]yuca!$C$21</f>
        <v>296.38669169999997</v>
      </c>
      <c r="O67" s="10"/>
      <c r="P67" s="37"/>
    </row>
    <row r="68" spans="1:20" x14ac:dyDescent="0.25">
      <c r="A68" s="6" t="s">
        <v>56</v>
      </c>
      <c r="B68" s="18"/>
      <c r="C68" s="18"/>
      <c r="D68" s="19"/>
      <c r="E68" s="18"/>
      <c r="F68" s="18"/>
      <c r="G68" s="18"/>
      <c r="H68" s="18"/>
      <c r="I68" s="18"/>
      <c r="J68" s="18"/>
      <c r="K68" s="19"/>
      <c r="L68" s="19"/>
      <c r="M68" s="24"/>
      <c r="N68" s="32">
        <f>[1]papitas!$C$24</f>
        <v>1205.9450480000003</v>
      </c>
      <c r="O68" s="10"/>
      <c r="P68" s="37"/>
    </row>
    <row r="69" spans="1:20" x14ac:dyDescent="0.25">
      <c r="A69" s="6" t="s">
        <v>127</v>
      </c>
      <c r="B69" s="18"/>
      <c r="C69" s="18"/>
      <c r="D69" s="19"/>
      <c r="E69" s="18"/>
      <c r="F69" s="18"/>
      <c r="G69" s="18"/>
      <c r="H69" s="18"/>
      <c r="I69" s="18"/>
      <c r="J69" s="18"/>
      <c r="K69" s="19"/>
      <c r="L69" s="19"/>
      <c r="M69" s="24"/>
      <c r="N69" s="32">
        <v>500</v>
      </c>
      <c r="O69" s="10"/>
      <c r="P69" s="37"/>
    </row>
    <row r="70" spans="1:20" x14ac:dyDescent="0.25">
      <c r="A70" s="6"/>
      <c r="B70" s="18"/>
      <c r="C70" s="18"/>
      <c r="D70" s="19"/>
      <c r="E70" s="18"/>
      <c r="F70" s="18"/>
      <c r="G70" s="18"/>
      <c r="H70" s="18"/>
      <c r="I70" s="18"/>
      <c r="J70" s="18"/>
      <c r="K70" s="19"/>
      <c r="L70" s="19"/>
      <c r="M70" s="24"/>
      <c r="N70" s="32"/>
      <c r="O70" s="10"/>
      <c r="P70" s="37"/>
    </row>
    <row r="71" spans="1:20" x14ac:dyDescent="0.25">
      <c r="A71" s="6" t="s">
        <v>17</v>
      </c>
      <c r="B71" s="18">
        <v>2608.5700000000002</v>
      </c>
      <c r="C71" s="18">
        <v>2325.4</v>
      </c>
      <c r="D71" s="19">
        <v>2654.75</v>
      </c>
      <c r="E71" s="18">
        <v>2393.35</v>
      </c>
      <c r="F71" s="18">
        <v>2561.25</v>
      </c>
      <c r="G71" s="18">
        <v>2894.79</v>
      </c>
      <c r="H71" s="18">
        <v>2362.5500000000002</v>
      </c>
      <c r="I71" s="18">
        <v>2537.06</v>
      </c>
      <c r="J71" s="19">
        <v>2116.4899999999998</v>
      </c>
      <c r="K71" s="19">
        <v>2146.9299999999998</v>
      </c>
      <c r="L71" s="18">
        <v>2167.6799999999998</v>
      </c>
      <c r="M71" s="24">
        <v>2382.5300000000002</v>
      </c>
      <c r="N71" s="47"/>
      <c r="O71" s="48">
        <v>2150</v>
      </c>
      <c r="P71" s="10">
        <v>2143.7000000000003</v>
      </c>
      <c r="Q71" s="75" t="s">
        <v>73</v>
      </c>
    </row>
    <row r="72" spans="1:20" x14ac:dyDescent="0.25">
      <c r="A72" s="51" t="s">
        <v>18</v>
      </c>
      <c r="B72" s="46">
        <f t="shared" ref="B72:M72" si="2">SUM(B14:B71)</f>
        <v>13684.66</v>
      </c>
      <c r="C72" s="46">
        <f t="shared" si="2"/>
        <v>14341.92</v>
      </c>
      <c r="D72" s="46">
        <f t="shared" si="2"/>
        <v>18353.910000000003</v>
      </c>
      <c r="E72" s="46">
        <f t="shared" si="2"/>
        <v>15358.189999999999</v>
      </c>
      <c r="F72" s="46">
        <f t="shared" si="2"/>
        <v>16075.150000000001</v>
      </c>
      <c r="G72" s="46">
        <f t="shared" si="2"/>
        <v>15531.400000000001</v>
      </c>
      <c r="H72" s="46">
        <f t="shared" si="2"/>
        <v>15709.02</v>
      </c>
      <c r="I72" s="46">
        <f t="shared" si="2"/>
        <v>18314.45</v>
      </c>
      <c r="J72" s="46">
        <f t="shared" si="2"/>
        <v>18448.519999999997</v>
      </c>
      <c r="K72" s="46">
        <f t="shared" si="2"/>
        <v>19419.18</v>
      </c>
      <c r="L72" s="46">
        <f t="shared" si="2"/>
        <v>20086.71</v>
      </c>
      <c r="M72" s="46">
        <f t="shared" si="2"/>
        <v>24249.73</v>
      </c>
      <c r="N72" s="46"/>
      <c r="O72" s="46">
        <f>SUM(O14:O71)</f>
        <v>20262.061999189555</v>
      </c>
      <c r="P72" s="12">
        <v>19325.001347557114</v>
      </c>
      <c r="Q72" s="77">
        <v>19867.900000000001</v>
      </c>
      <c r="R72" s="72"/>
    </row>
    <row r="73" spans="1:20" x14ac:dyDescent="0.25">
      <c r="A73" s="51" t="s">
        <v>19</v>
      </c>
      <c r="B73" s="46">
        <f t="shared" ref="B73:M73" si="3">+B11-B72</f>
        <v>12034.52</v>
      </c>
      <c r="C73" s="46">
        <f t="shared" si="3"/>
        <v>14903.44</v>
      </c>
      <c r="D73" s="46">
        <f t="shared" si="3"/>
        <v>18842.419999999998</v>
      </c>
      <c r="E73" s="46">
        <f t="shared" si="3"/>
        <v>17295.010000000002</v>
      </c>
      <c r="F73" s="46">
        <f t="shared" si="3"/>
        <v>15810.68</v>
      </c>
      <c r="G73" s="46">
        <f t="shared" si="3"/>
        <v>15880.32</v>
      </c>
      <c r="H73" s="46">
        <f t="shared" si="3"/>
        <v>15578.509999999998</v>
      </c>
      <c r="I73" s="46">
        <f t="shared" si="3"/>
        <v>18140.66</v>
      </c>
      <c r="J73" s="46">
        <f t="shared" si="3"/>
        <v>16350.400000000001</v>
      </c>
      <c r="K73" s="46">
        <f t="shared" si="3"/>
        <v>24316.71</v>
      </c>
      <c r="L73" s="46">
        <f t="shared" si="3"/>
        <v>16317.849999999999</v>
      </c>
      <c r="M73" s="46">
        <f t="shared" si="3"/>
        <v>31884.219999999998</v>
      </c>
      <c r="N73" s="46"/>
      <c r="O73" s="46">
        <f>+O11-O72</f>
        <v>25937.803834143775</v>
      </c>
      <c r="P73" s="12">
        <v>37720.677819109551</v>
      </c>
      <c r="Q73" s="76">
        <f>Q11-Q72</f>
        <v>-13089.634166666669</v>
      </c>
      <c r="S73" t="s">
        <v>74</v>
      </c>
    </row>
    <row r="74" spans="1:20" x14ac:dyDescent="0.25">
      <c r="A74" s="6"/>
      <c r="B74" s="18"/>
      <c r="C74" s="18"/>
      <c r="D74" s="19"/>
      <c r="E74" s="18"/>
      <c r="F74" s="18"/>
      <c r="G74" s="18"/>
      <c r="H74" s="18"/>
      <c r="I74" s="18"/>
      <c r="J74" s="18"/>
      <c r="K74" s="26"/>
      <c r="L74" s="27"/>
      <c r="M74" s="24"/>
      <c r="N74" s="49"/>
      <c r="O74" s="50"/>
      <c r="P74" s="8"/>
    </row>
    <row r="75" spans="1:20" x14ac:dyDescent="0.25">
      <c r="A75" s="1" t="s">
        <v>20</v>
      </c>
      <c r="B75" s="21"/>
      <c r="C75" s="21"/>
      <c r="D75" s="22"/>
      <c r="E75" s="21"/>
      <c r="F75" s="21"/>
      <c r="G75" s="21"/>
      <c r="H75" s="21"/>
      <c r="I75" s="21"/>
      <c r="J75" s="21"/>
      <c r="K75" s="19"/>
      <c r="L75" s="18"/>
      <c r="M75" s="20"/>
      <c r="N75" s="30"/>
      <c r="O75" s="8"/>
      <c r="P75" s="8"/>
    </row>
    <row r="76" spans="1:20" x14ac:dyDescent="0.25">
      <c r="A76" s="39"/>
      <c r="B76" s="18"/>
      <c r="C76" s="18"/>
      <c r="D76" s="19"/>
      <c r="E76" s="18"/>
      <c r="F76" s="18"/>
      <c r="G76" s="18"/>
      <c r="H76" s="18"/>
      <c r="I76" s="18"/>
      <c r="J76" s="18"/>
      <c r="K76" s="19"/>
      <c r="L76" s="18"/>
      <c r="M76" s="20"/>
      <c r="N76" s="30"/>
      <c r="O76" s="60"/>
      <c r="P76" s="10">
        <v>99.291000000000011</v>
      </c>
      <c r="R76" s="73"/>
      <c r="S76" s="59"/>
      <c r="T76" s="59"/>
    </row>
    <row r="77" spans="1:20" x14ac:dyDescent="0.25">
      <c r="A77" s="78" t="s">
        <v>77</v>
      </c>
      <c r="B77" s="18"/>
      <c r="C77" s="18"/>
      <c r="D77" s="19"/>
      <c r="E77" s="18"/>
      <c r="F77" s="18"/>
      <c r="G77" s="18"/>
      <c r="H77" s="18"/>
      <c r="I77" s="18"/>
      <c r="J77" s="18"/>
      <c r="K77" s="19"/>
      <c r="L77" s="18"/>
      <c r="M77" s="24"/>
      <c r="N77" s="32"/>
      <c r="O77" s="10">
        <v>0</v>
      </c>
      <c r="P77" s="10">
        <v>1742.5</v>
      </c>
      <c r="T77" s="59"/>
    </row>
    <row r="78" spans="1:20" x14ac:dyDescent="0.25">
      <c r="A78" s="78" t="s">
        <v>78</v>
      </c>
      <c r="B78" s="18"/>
      <c r="C78" s="18"/>
      <c r="D78" s="19"/>
      <c r="E78" s="18"/>
      <c r="F78" s="18"/>
      <c r="G78" s="18"/>
      <c r="H78" s="18"/>
      <c r="I78" s="18"/>
      <c r="J78" s="18"/>
      <c r="K78" s="19"/>
      <c r="L78" s="18"/>
      <c r="M78" s="24"/>
      <c r="N78" s="32"/>
      <c r="O78" s="10">
        <v>5600</v>
      </c>
      <c r="P78" s="10">
        <v>148.83166666666668</v>
      </c>
    </row>
    <row r="79" spans="1:20" x14ac:dyDescent="0.25">
      <c r="A79" s="78" t="s">
        <v>79</v>
      </c>
      <c r="B79" s="18"/>
      <c r="C79" s="18"/>
      <c r="D79" s="19"/>
      <c r="E79" s="18"/>
      <c r="F79" s="18"/>
      <c r="G79" s="18"/>
      <c r="H79" s="18"/>
      <c r="I79" s="18"/>
      <c r="J79" s="18"/>
      <c r="K79" s="19"/>
      <c r="L79" s="18"/>
      <c r="M79" s="24"/>
      <c r="N79" s="32"/>
      <c r="O79" s="10">
        <v>0</v>
      </c>
      <c r="P79" s="10">
        <v>760</v>
      </c>
    </row>
    <row r="80" spans="1:20" x14ac:dyDescent="0.25">
      <c r="A80" s="78" t="s">
        <v>80</v>
      </c>
      <c r="B80" s="18"/>
      <c r="C80" s="18"/>
      <c r="D80" s="19"/>
      <c r="E80" s="18"/>
      <c r="F80" s="18"/>
      <c r="G80" s="18"/>
      <c r="H80" s="18"/>
      <c r="I80" s="18"/>
      <c r="J80" s="18"/>
      <c r="K80" s="19"/>
      <c r="L80" s="18"/>
      <c r="M80" s="24"/>
      <c r="N80" s="32"/>
      <c r="O80" s="10">
        <v>0</v>
      </c>
      <c r="P80" s="10">
        <v>315.65666666666664</v>
      </c>
    </row>
    <row r="81" spans="1:16" x14ac:dyDescent="0.25">
      <c r="A81" s="78" t="s">
        <v>81</v>
      </c>
      <c r="B81" s="18"/>
      <c r="C81" s="18"/>
      <c r="D81" s="19"/>
      <c r="E81" s="18"/>
      <c r="F81" s="18"/>
      <c r="G81" s="18"/>
      <c r="H81" s="18"/>
      <c r="I81" s="18"/>
      <c r="J81" s="18"/>
      <c r="K81" s="19"/>
      <c r="L81" s="18"/>
      <c r="M81" s="24"/>
      <c r="N81" s="32"/>
      <c r="O81" s="10">
        <v>0</v>
      </c>
      <c r="P81" s="10">
        <v>1815</v>
      </c>
    </row>
    <row r="82" spans="1:16" x14ac:dyDescent="0.25">
      <c r="A82" s="78" t="s">
        <v>82</v>
      </c>
      <c r="B82" s="18"/>
      <c r="C82" s="18"/>
      <c r="D82" s="19"/>
      <c r="E82" s="18"/>
      <c r="F82" s="18"/>
      <c r="G82" s="18"/>
      <c r="H82" s="18"/>
      <c r="I82" s="18"/>
      <c r="J82" s="18"/>
      <c r="K82" s="19"/>
      <c r="L82" s="18"/>
      <c r="M82" s="24"/>
      <c r="N82" s="32"/>
      <c r="O82" s="10">
        <v>0</v>
      </c>
      <c r="P82" s="10">
        <v>38.409999999999997</v>
      </c>
    </row>
    <row r="83" spans="1:16" x14ac:dyDescent="0.25">
      <c r="A83" s="78" t="s">
        <v>83</v>
      </c>
      <c r="B83" s="18"/>
      <c r="C83" s="18"/>
      <c r="D83" s="19"/>
      <c r="E83" s="18"/>
      <c r="F83" s="18"/>
      <c r="G83" s="18"/>
      <c r="H83" s="18"/>
      <c r="I83" s="18"/>
      <c r="J83" s="18"/>
      <c r="K83" s="19"/>
      <c r="L83" s="18"/>
      <c r="M83" s="24"/>
      <c r="N83" s="32"/>
      <c r="O83" s="10">
        <v>0</v>
      </c>
      <c r="P83" s="10">
        <v>1573.1724999999999</v>
      </c>
    </row>
    <row r="84" spans="1:16" x14ac:dyDescent="0.25">
      <c r="A84" s="78" t="s">
        <v>84</v>
      </c>
      <c r="B84" s="18"/>
      <c r="C84" s="18"/>
      <c r="D84" s="19"/>
      <c r="E84" s="18"/>
      <c r="F84" s="18"/>
      <c r="G84" s="18"/>
      <c r="H84" s="18"/>
      <c r="I84" s="18"/>
      <c r="J84" s="18"/>
      <c r="K84" s="19"/>
      <c r="L84" s="18"/>
      <c r="M84" s="24"/>
      <c r="N84" s="32"/>
      <c r="O84" s="10">
        <v>943.6</v>
      </c>
      <c r="P84" s="10">
        <v>220.58818181818185</v>
      </c>
    </row>
    <row r="85" spans="1:16" x14ac:dyDescent="0.25">
      <c r="A85" s="78" t="s">
        <v>85</v>
      </c>
      <c r="B85" s="18"/>
      <c r="C85" s="18"/>
      <c r="D85" s="19"/>
      <c r="E85" s="18"/>
      <c r="F85" s="18"/>
      <c r="G85" s="18"/>
      <c r="H85" s="18"/>
      <c r="I85" s="18"/>
      <c r="J85" s="18"/>
      <c r="K85" s="19"/>
      <c r="L85" s="18"/>
      <c r="M85" s="24"/>
      <c r="N85" s="32"/>
      <c r="O85" s="10">
        <v>2800</v>
      </c>
      <c r="P85" s="10"/>
    </row>
    <row r="86" spans="1:16" x14ac:dyDescent="0.25">
      <c r="A86" s="78" t="s">
        <v>86</v>
      </c>
      <c r="B86" s="18"/>
      <c r="C86" s="18"/>
      <c r="D86" s="19"/>
      <c r="E86" s="18"/>
      <c r="F86" s="18"/>
      <c r="G86" s="18"/>
      <c r="H86" s="18"/>
      <c r="I86" s="18"/>
      <c r="J86" s="18"/>
      <c r="K86" s="19"/>
      <c r="L86" s="18"/>
      <c r="M86" s="24"/>
      <c r="N86" s="32"/>
      <c r="O86" s="10">
        <v>1700</v>
      </c>
      <c r="P86" s="10">
        <v>118.07333333333334</v>
      </c>
    </row>
    <row r="87" spans="1:16" x14ac:dyDescent="0.25">
      <c r="A87" s="78" t="s">
        <v>87</v>
      </c>
      <c r="B87" s="18"/>
      <c r="C87" s="18"/>
      <c r="D87" s="19"/>
      <c r="E87" s="18"/>
      <c r="F87" s="18"/>
      <c r="G87" s="18"/>
      <c r="H87" s="18"/>
      <c r="I87" s="18"/>
      <c r="J87" s="18"/>
      <c r="K87" s="19"/>
      <c r="L87" s="18"/>
      <c r="M87" s="24"/>
      <c r="N87" s="32"/>
      <c r="O87" s="10">
        <v>112</v>
      </c>
      <c r="P87" s="10">
        <v>673.2741666666667</v>
      </c>
    </row>
    <row r="88" spans="1:16" x14ac:dyDescent="0.25">
      <c r="A88" s="78" t="s">
        <v>88</v>
      </c>
      <c r="B88" s="18"/>
      <c r="C88" s="18"/>
      <c r="D88" s="19"/>
      <c r="E88" s="18"/>
      <c r="F88" s="18"/>
      <c r="G88" s="18"/>
      <c r="H88" s="18"/>
      <c r="I88" s="18"/>
      <c r="J88" s="18"/>
      <c r="K88" s="19"/>
      <c r="L88" s="18"/>
      <c r="M88" s="24"/>
      <c r="N88" s="32"/>
      <c r="O88" s="10">
        <v>19.760000000000002</v>
      </c>
      <c r="P88" s="10">
        <v>0</v>
      </c>
    </row>
    <row r="89" spans="1:16" x14ac:dyDescent="0.25">
      <c r="A89" s="78" t="s">
        <v>89</v>
      </c>
      <c r="B89" s="18"/>
      <c r="C89" s="18"/>
      <c r="D89" s="19"/>
      <c r="E89" s="18"/>
      <c r="F89" s="18"/>
      <c r="G89" s="18"/>
      <c r="H89" s="18"/>
      <c r="I89" s="18"/>
      <c r="J89" s="18"/>
      <c r="K89" s="19"/>
      <c r="L89" s="18"/>
      <c r="M89" s="24"/>
      <c r="N89" s="32"/>
      <c r="O89" s="10">
        <v>150</v>
      </c>
      <c r="P89" s="10"/>
    </row>
    <row r="90" spans="1:16" x14ac:dyDescent="0.25">
      <c r="A90" s="78" t="s">
        <v>90</v>
      </c>
      <c r="B90" s="18"/>
      <c r="C90" s="18"/>
      <c r="D90" s="19"/>
      <c r="E90" s="18"/>
      <c r="F90" s="18"/>
      <c r="G90" s="18"/>
      <c r="H90" s="18"/>
      <c r="I90" s="18"/>
      <c r="J90" s="18"/>
      <c r="K90" s="19"/>
      <c r="L90" s="18"/>
      <c r="M90" s="24"/>
      <c r="N90" s="32"/>
      <c r="O90" s="10">
        <v>200</v>
      </c>
      <c r="P90" s="10">
        <v>436.66125</v>
      </c>
    </row>
    <row r="91" spans="1:16" x14ac:dyDescent="0.25">
      <c r="A91" s="78" t="s">
        <v>91</v>
      </c>
      <c r="B91" s="18"/>
      <c r="C91" s="18"/>
      <c r="D91" s="19"/>
      <c r="E91" s="18"/>
      <c r="F91" s="18"/>
      <c r="G91" s="18"/>
      <c r="H91" s="18"/>
      <c r="I91" s="18"/>
      <c r="J91" s="18"/>
      <c r="K91" s="19"/>
      <c r="L91" s="18"/>
      <c r="M91" s="24"/>
      <c r="N91" s="32"/>
      <c r="O91" s="10">
        <v>617.17999999999995</v>
      </c>
      <c r="P91" s="10">
        <v>97.546666666666667</v>
      </c>
    </row>
    <row r="92" spans="1:16" x14ac:dyDescent="0.25">
      <c r="A92" s="78" t="s">
        <v>92</v>
      </c>
      <c r="B92" s="18"/>
      <c r="C92" s="18"/>
      <c r="D92" s="19"/>
      <c r="E92" s="18"/>
      <c r="F92" s="18"/>
      <c r="G92" s="18"/>
      <c r="H92" s="18"/>
      <c r="I92" s="18"/>
      <c r="J92" s="18"/>
      <c r="K92" s="19"/>
      <c r="L92" s="18"/>
      <c r="M92" s="24"/>
      <c r="N92" s="32"/>
      <c r="O92" s="10">
        <v>1500</v>
      </c>
      <c r="P92" s="10">
        <v>132.60333333333332</v>
      </c>
    </row>
    <row r="93" spans="1:16" x14ac:dyDescent="0.25">
      <c r="A93" s="78" t="s">
        <v>93</v>
      </c>
      <c r="B93" s="18"/>
      <c r="C93" s="18"/>
      <c r="D93" s="19"/>
      <c r="E93" s="18"/>
      <c r="F93" s="18"/>
      <c r="G93" s="18"/>
      <c r="H93" s="18"/>
      <c r="I93" s="18"/>
      <c r="J93" s="18"/>
      <c r="K93" s="19"/>
      <c r="L93" s="18"/>
      <c r="M93" s="24"/>
      <c r="N93" s="32"/>
      <c r="O93" s="10">
        <v>453.66</v>
      </c>
      <c r="P93" s="10">
        <v>488.84749999999997</v>
      </c>
    </row>
    <row r="94" spans="1:16" x14ac:dyDescent="0.25">
      <c r="A94" s="78" t="s">
        <v>94</v>
      </c>
      <c r="B94" s="18"/>
      <c r="C94" s="18"/>
      <c r="D94" s="19"/>
      <c r="E94" s="18"/>
      <c r="F94" s="18"/>
      <c r="G94" s="18"/>
      <c r="H94" s="18"/>
      <c r="I94" s="18"/>
      <c r="J94" s="18"/>
      <c r="K94" s="19"/>
      <c r="L94" s="18"/>
      <c r="M94" s="24"/>
      <c r="N94" s="32"/>
      <c r="O94" s="10">
        <v>50</v>
      </c>
      <c r="P94" s="10">
        <v>145.53200000000001</v>
      </c>
    </row>
    <row r="95" spans="1:16" x14ac:dyDescent="0.25">
      <c r="A95" s="78" t="s">
        <v>95</v>
      </c>
      <c r="B95" s="18"/>
      <c r="C95" s="18"/>
      <c r="D95" s="19"/>
      <c r="E95" s="18"/>
      <c r="F95" s="18"/>
      <c r="G95" s="18"/>
      <c r="H95" s="18"/>
      <c r="I95" s="18"/>
      <c r="J95" s="18"/>
      <c r="K95" s="19"/>
      <c r="L95" s="18"/>
      <c r="M95" s="24"/>
      <c r="N95" s="32"/>
      <c r="O95" s="10">
        <v>453.66</v>
      </c>
      <c r="P95" s="10">
        <v>203.75</v>
      </c>
    </row>
    <row r="96" spans="1:16" x14ac:dyDescent="0.25">
      <c r="A96" s="78" t="s">
        <v>96</v>
      </c>
      <c r="B96" s="18"/>
      <c r="C96" s="18"/>
      <c r="D96" s="19"/>
      <c r="E96" s="18"/>
      <c r="F96" s="18"/>
      <c r="G96" s="18"/>
      <c r="H96" s="18"/>
      <c r="I96" s="18"/>
      <c r="J96" s="18"/>
      <c r="K96" s="19"/>
      <c r="L96" s="18"/>
      <c r="M96" s="24"/>
      <c r="N96" s="32"/>
      <c r="O96" s="10">
        <v>60</v>
      </c>
      <c r="P96" s="10">
        <v>4338.458333333333</v>
      </c>
    </row>
    <row r="97" spans="1:16" x14ac:dyDescent="0.25">
      <c r="A97" s="78" t="s">
        <v>97</v>
      </c>
      <c r="B97" s="18"/>
      <c r="C97" s="18"/>
      <c r="D97" s="19"/>
      <c r="E97" s="18"/>
      <c r="F97" s="18"/>
      <c r="G97" s="18"/>
      <c r="H97" s="18"/>
      <c r="I97" s="18"/>
      <c r="J97" s="18"/>
      <c r="K97" s="19"/>
      <c r="L97" s="18"/>
      <c r="M97" s="27"/>
      <c r="N97" s="32"/>
      <c r="O97" s="10">
        <v>300</v>
      </c>
      <c r="P97" s="10"/>
    </row>
    <row r="98" spans="1:16" x14ac:dyDescent="0.25">
      <c r="A98" s="78" t="s">
        <v>98</v>
      </c>
      <c r="B98" s="18"/>
      <c r="C98" s="18"/>
      <c r="D98" s="19"/>
      <c r="E98" s="18"/>
      <c r="F98" s="18"/>
      <c r="G98" s="18"/>
      <c r="H98" s="18"/>
      <c r="I98" s="18"/>
      <c r="J98" s="18"/>
      <c r="K98" s="19"/>
      <c r="L98" s="18"/>
      <c r="M98" s="27"/>
      <c r="N98" s="32"/>
      <c r="O98" s="10">
        <v>0</v>
      </c>
      <c r="P98" s="10"/>
    </row>
    <row r="99" spans="1:16" x14ac:dyDescent="0.25">
      <c r="A99" s="78" t="s">
        <v>99</v>
      </c>
      <c r="B99" s="18"/>
      <c r="C99" s="18"/>
      <c r="D99" s="19"/>
      <c r="E99" s="18"/>
      <c r="F99" s="18"/>
      <c r="G99" s="18"/>
      <c r="H99" s="18"/>
      <c r="I99" s="18"/>
      <c r="J99" s="18"/>
      <c r="K99" s="19"/>
      <c r="L99" s="18"/>
      <c r="M99" s="27"/>
      <c r="N99" s="32"/>
      <c r="O99" s="10">
        <v>0</v>
      </c>
      <c r="P99" s="10"/>
    </row>
    <row r="100" spans="1:16" x14ac:dyDescent="0.25">
      <c r="A100" s="78" t="s">
        <v>100</v>
      </c>
      <c r="B100" s="18"/>
      <c r="C100" s="18"/>
      <c r="D100" s="19"/>
      <c r="E100" s="18"/>
      <c r="F100" s="18"/>
      <c r="G100" s="18"/>
      <c r="H100" s="18"/>
      <c r="I100" s="18"/>
      <c r="J100" s="18"/>
      <c r="K100" s="19"/>
      <c r="L100" s="18"/>
      <c r="M100" s="27"/>
      <c r="N100" s="32"/>
      <c r="O100" s="10">
        <v>0</v>
      </c>
      <c r="P100" s="10"/>
    </row>
    <row r="101" spans="1:16" x14ac:dyDescent="0.25">
      <c r="A101" s="78" t="s">
        <v>101</v>
      </c>
      <c r="B101" s="18"/>
      <c r="C101" s="18"/>
      <c r="D101" s="19"/>
      <c r="E101" s="18"/>
      <c r="F101" s="18"/>
      <c r="G101" s="18"/>
      <c r="H101" s="18"/>
      <c r="I101" s="18"/>
      <c r="J101" s="18"/>
      <c r="K101" s="19"/>
      <c r="L101" s="18"/>
      <c r="M101" s="27"/>
      <c r="N101" s="32"/>
      <c r="O101" s="10">
        <v>100</v>
      </c>
      <c r="P101" s="10"/>
    </row>
    <row r="102" spans="1:16" x14ac:dyDescent="0.25">
      <c r="A102" s="78" t="s">
        <v>102</v>
      </c>
      <c r="B102" s="18"/>
      <c r="C102" s="18"/>
      <c r="D102" s="19"/>
      <c r="E102" s="18"/>
      <c r="F102" s="18"/>
      <c r="G102" s="18"/>
      <c r="H102" s="18"/>
      <c r="I102" s="18"/>
      <c r="J102" s="18"/>
      <c r="K102" s="19"/>
      <c r="L102" s="18"/>
      <c r="M102" s="27"/>
      <c r="N102" s="32"/>
      <c r="O102" s="10">
        <v>0</v>
      </c>
      <c r="P102" s="10"/>
    </row>
    <row r="103" spans="1:16" x14ac:dyDescent="0.25">
      <c r="A103" s="78" t="s">
        <v>103</v>
      </c>
      <c r="B103" s="18"/>
      <c r="C103" s="18"/>
      <c r="D103" s="19"/>
      <c r="E103" s="18"/>
      <c r="F103" s="18"/>
      <c r="G103" s="18"/>
      <c r="H103" s="18"/>
      <c r="I103" s="18"/>
      <c r="J103" s="18"/>
      <c r="K103" s="19"/>
      <c r="L103" s="18"/>
      <c r="M103" s="27"/>
      <c r="N103" s="32"/>
      <c r="O103" s="10">
        <v>0</v>
      </c>
      <c r="P103" s="10"/>
    </row>
    <row r="104" spans="1:16" x14ac:dyDescent="0.25">
      <c r="A104" s="78" t="s">
        <v>104</v>
      </c>
      <c r="B104" s="18"/>
      <c r="C104" s="18"/>
      <c r="D104" s="19"/>
      <c r="E104" s="18"/>
      <c r="F104" s="18"/>
      <c r="G104" s="18"/>
      <c r="H104" s="18"/>
      <c r="I104" s="18"/>
      <c r="J104" s="18"/>
      <c r="K104" s="19"/>
      <c r="L104" s="18"/>
      <c r="M104" s="27"/>
      <c r="N104" s="32"/>
      <c r="O104" s="10">
        <v>0</v>
      </c>
      <c r="P104" s="10"/>
    </row>
    <row r="105" spans="1:16" x14ac:dyDescent="0.25">
      <c r="A105" s="78" t="s">
        <v>105</v>
      </c>
      <c r="B105" s="18"/>
      <c r="C105" s="18"/>
      <c r="D105" s="19"/>
      <c r="E105" s="18"/>
      <c r="F105" s="18"/>
      <c r="G105" s="18"/>
      <c r="H105" s="18"/>
      <c r="I105" s="18"/>
      <c r="J105" s="18"/>
      <c r="K105" s="19"/>
      <c r="L105" s="18"/>
      <c r="M105" s="27"/>
      <c r="N105" s="32"/>
      <c r="O105" s="10">
        <v>153.43</v>
      </c>
      <c r="P105" s="10"/>
    </row>
    <row r="106" spans="1:16" x14ac:dyDescent="0.25">
      <c r="A106" s="78" t="s">
        <v>106</v>
      </c>
      <c r="B106" s="18"/>
      <c r="C106" s="18"/>
      <c r="D106" s="19"/>
      <c r="E106" s="18"/>
      <c r="F106" s="18"/>
      <c r="G106" s="18"/>
      <c r="H106" s="18"/>
      <c r="I106" s="18"/>
      <c r="J106" s="18"/>
      <c r="K106" s="19"/>
      <c r="L106" s="18"/>
      <c r="M106" s="27"/>
      <c r="N106" s="32"/>
      <c r="O106" s="10">
        <v>25</v>
      </c>
      <c r="P106" s="10"/>
    </row>
    <row r="107" spans="1:16" x14ac:dyDescent="0.25">
      <c r="A107" s="78" t="s">
        <v>107</v>
      </c>
      <c r="B107" s="18"/>
      <c r="C107" s="18"/>
      <c r="D107" s="19"/>
      <c r="E107" s="18"/>
      <c r="F107" s="18"/>
      <c r="G107" s="18"/>
      <c r="H107" s="18"/>
      <c r="I107" s="18"/>
      <c r="J107" s="18"/>
      <c r="K107" s="19"/>
      <c r="L107" s="18"/>
      <c r="M107" s="27"/>
      <c r="N107" s="32"/>
      <c r="O107" s="10">
        <v>175.88</v>
      </c>
      <c r="P107" s="10"/>
    </row>
    <row r="108" spans="1:16" x14ac:dyDescent="0.25">
      <c r="A108" s="78" t="s">
        <v>108</v>
      </c>
      <c r="B108" s="18"/>
      <c r="C108" s="18"/>
      <c r="D108" s="19"/>
      <c r="E108" s="18"/>
      <c r="F108" s="18"/>
      <c r="G108" s="18"/>
      <c r="H108" s="18"/>
      <c r="I108" s="18"/>
      <c r="J108" s="18"/>
      <c r="K108" s="19"/>
      <c r="L108" s="18"/>
      <c r="M108" s="27"/>
      <c r="N108" s="32"/>
      <c r="O108" s="10">
        <v>0</v>
      </c>
      <c r="P108" s="10"/>
    </row>
    <row r="109" spans="1:16" x14ac:dyDescent="0.25">
      <c r="A109" s="78" t="s">
        <v>109</v>
      </c>
      <c r="B109" s="18"/>
      <c r="C109" s="18"/>
      <c r="D109" s="19"/>
      <c r="E109" s="18"/>
      <c r="F109" s="18"/>
      <c r="G109" s="18"/>
      <c r="H109" s="18"/>
      <c r="I109" s="18"/>
      <c r="J109" s="18"/>
      <c r="K109" s="19"/>
      <c r="L109" s="18"/>
      <c r="M109" s="27"/>
      <c r="N109" s="32"/>
      <c r="O109" s="10">
        <v>0</v>
      </c>
      <c r="P109" s="10"/>
    </row>
    <row r="110" spans="1:16" x14ac:dyDescent="0.25">
      <c r="A110" s="78" t="s">
        <v>110</v>
      </c>
      <c r="B110" s="18"/>
      <c r="C110" s="18"/>
      <c r="D110" s="19"/>
      <c r="E110" s="18"/>
      <c r="F110" s="18"/>
      <c r="G110" s="18"/>
      <c r="H110" s="18"/>
      <c r="I110" s="18"/>
      <c r="J110" s="18"/>
      <c r="K110" s="19"/>
      <c r="L110" s="18"/>
      <c r="M110" s="27"/>
      <c r="N110" s="32"/>
      <c r="O110" s="10">
        <v>0</v>
      </c>
      <c r="P110" s="10"/>
    </row>
    <row r="111" spans="1:16" x14ac:dyDescent="0.25">
      <c r="A111" s="78" t="s">
        <v>111</v>
      </c>
      <c r="B111" s="18"/>
      <c r="C111" s="18"/>
      <c r="D111" s="19"/>
      <c r="E111" s="18"/>
      <c r="F111" s="18"/>
      <c r="G111" s="18"/>
      <c r="H111" s="18"/>
      <c r="I111" s="18"/>
      <c r="J111" s="18"/>
      <c r="K111" s="19"/>
      <c r="L111" s="18"/>
      <c r="M111" s="27"/>
      <c r="N111" s="32"/>
      <c r="O111" s="10">
        <v>350</v>
      </c>
      <c r="P111" s="10"/>
    </row>
    <row r="112" spans="1:16" x14ac:dyDescent="0.25">
      <c r="A112" s="78" t="s">
        <v>112</v>
      </c>
      <c r="B112" s="18"/>
      <c r="C112" s="18"/>
      <c r="D112" s="19"/>
      <c r="E112" s="18"/>
      <c r="F112" s="18"/>
      <c r="G112" s="18"/>
      <c r="H112" s="18"/>
      <c r="I112" s="18"/>
      <c r="J112" s="18"/>
      <c r="K112" s="19"/>
      <c r="L112" s="18"/>
      <c r="M112" s="27"/>
      <c r="N112" s="32"/>
      <c r="O112" s="10">
        <v>0</v>
      </c>
      <c r="P112" s="10"/>
    </row>
    <row r="113" spans="1:20" x14ac:dyDescent="0.25">
      <c r="A113" s="78" t="s">
        <v>113</v>
      </c>
      <c r="B113" s="18"/>
      <c r="C113" s="18"/>
      <c r="D113" s="19"/>
      <c r="E113" s="18"/>
      <c r="F113" s="18"/>
      <c r="G113" s="18"/>
      <c r="H113" s="18"/>
      <c r="I113" s="18"/>
      <c r="J113" s="18"/>
      <c r="K113" s="19"/>
      <c r="L113" s="18"/>
      <c r="M113" s="27"/>
      <c r="N113" s="32"/>
      <c r="O113" s="10">
        <v>461.17</v>
      </c>
      <c r="P113" s="10"/>
    </row>
    <row r="114" spans="1:20" x14ac:dyDescent="0.25">
      <c r="A114" s="78" t="s">
        <v>114</v>
      </c>
      <c r="B114" s="18"/>
      <c r="C114" s="18"/>
      <c r="D114" s="19"/>
      <c r="E114" s="18"/>
      <c r="F114" s="18"/>
      <c r="G114" s="18"/>
      <c r="H114" s="18"/>
      <c r="I114" s="18"/>
      <c r="J114" s="18"/>
      <c r="K114" s="19"/>
      <c r="L114" s="18"/>
      <c r="M114" s="27"/>
      <c r="N114" s="32"/>
      <c r="O114" s="10">
        <v>250</v>
      </c>
      <c r="P114" s="10"/>
    </row>
    <row r="115" spans="1:20" x14ac:dyDescent="0.25">
      <c r="A115" s="78" t="s">
        <v>115</v>
      </c>
      <c r="B115" s="18"/>
      <c r="C115" s="18"/>
      <c r="D115" s="19"/>
      <c r="E115" s="18"/>
      <c r="F115" s="18"/>
      <c r="G115" s="18"/>
      <c r="H115" s="18"/>
      <c r="I115" s="18"/>
      <c r="J115" s="18"/>
      <c r="K115" s="19"/>
      <c r="L115" s="18"/>
      <c r="M115" s="27"/>
      <c r="N115" s="32"/>
      <c r="O115" s="10">
        <v>0</v>
      </c>
      <c r="P115" s="10"/>
    </row>
    <row r="116" spans="1:20" x14ac:dyDescent="0.25">
      <c r="A116" s="78" t="s">
        <v>116</v>
      </c>
      <c r="B116" s="18"/>
      <c r="C116" s="18"/>
      <c r="D116" s="19"/>
      <c r="E116" s="18"/>
      <c r="F116" s="18"/>
      <c r="G116" s="18"/>
      <c r="H116" s="18"/>
      <c r="I116" s="18"/>
      <c r="J116" s="18"/>
      <c r="K116" s="19"/>
      <c r="L116" s="18"/>
      <c r="M116" s="27"/>
      <c r="N116" s="32"/>
      <c r="O116" s="10">
        <v>85.6</v>
      </c>
      <c r="P116" s="10"/>
    </row>
    <row r="117" spans="1:20" x14ac:dyDescent="0.25">
      <c r="A117" s="78" t="s">
        <v>117</v>
      </c>
      <c r="B117" s="18"/>
      <c r="C117" s="18"/>
      <c r="D117" s="19"/>
      <c r="E117" s="18"/>
      <c r="F117" s="18"/>
      <c r="G117" s="18"/>
      <c r="H117" s="18"/>
      <c r="I117" s="18"/>
      <c r="J117" s="18"/>
      <c r="K117" s="19"/>
      <c r="L117" s="18"/>
      <c r="M117" s="27"/>
      <c r="N117" s="32"/>
      <c r="O117" s="10">
        <v>0</v>
      </c>
      <c r="P117" s="10"/>
    </row>
    <row r="118" spans="1:20" x14ac:dyDescent="0.25">
      <c r="A118" s="78" t="s">
        <v>118</v>
      </c>
      <c r="B118" s="18"/>
      <c r="C118" s="18"/>
      <c r="D118" s="19"/>
      <c r="E118" s="18"/>
      <c r="F118" s="18"/>
      <c r="G118" s="18"/>
      <c r="H118" s="18"/>
      <c r="I118" s="18"/>
      <c r="J118" s="18"/>
      <c r="K118" s="19"/>
      <c r="L118" s="18"/>
      <c r="M118" s="27"/>
      <c r="N118" s="32"/>
      <c r="O118" s="10">
        <v>450</v>
      </c>
      <c r="P118" s="10"/>
    </row>
    <row r="119" spans="1:20" x14ac:dyDescent="0.25">
      <c r="A119" s="78" t="s">
        <v>119</v>
      </c>
      <c r="B119" s="18"/>
      <c r="C119" s="18"/>
      <c r="D119" s="19"/>
      <c r="E119" s="18"/>
      <c r="F119" s="18"/>
      <c r="G119" s="18"/>
      <c r="H119" s="18"/>
      <c r="I119" s="18"/>
      <c r="J119" s="18"/>
      <c r="K119" s="19"/>
      <c r="L119" s="18"/>
      <c r="M119" s="27"/>
      <c r="N119" s="32"/>
      <c r="O119" s="10">
        <v>0</v>
      </c>
      <c r="P119" s="10"/>
    </row>
    <row r="120" spans="1:20" x14ac:dyDescent="0.25">
      <c r="A120" s="78" t="s">
        <v>120</v>
      </c>
      <c r="B120" s="18"/>
      <c r="C120" s="18"/>
      <c r="D120" s="19"/>
      <c r="E120" s="18"/>
      <c r="F120" s="18"/>
      <c r="G120" s="18"/>
      <c r="H120" s="18"/>
      <c r="I120" s="18"/>
      <c r="J120" s="18"/>
      <c r="K120" s="19"/>
      <c r="L120" s="18"/>
      <c r="M120" s="27"/>
      <c r="N120" s="32"/>
      <c r="O120" s="10">
        <v>200</v>
      </c>
      <c r="P120" s="10"/>
    </row>
    <row r="121" spans="1:20" x14ac:dyDescent="0.25">
      <c r="A121" s="78" t="s">
        <v>121</v>
      </c>
      <c r="B121" s="18"/>
      <c r="C121" s="18"/>
      <c r="D121" s="19"/>
      <c r="E121" s="18"/>
      <c r="F121" s="18"/>
      <c r="G121" s="18"/>
      <c r="H121" s="18"/>
      <c r="I121" s="18"/>
      <c r="J121" s="18"/>
      <c r="K121" s="19"/>
      <c r="L121" s="18"/>
      <c r="M121" s="27"/>
      <c r="N121" s="32"/>
      <c r="O121" s="10">
        <v>0</v>
      </c>
      <c r="P121" s="10"/>
    </row>
    <row r="122" spans="1:20" x14ac:dyDescent="0.25">
      <c r="A122" s="39"/>
      <c r="B122" s="18"/>
      <c r="C122" s="18"/>
      <c r="D122" s="19"/>
      <c r="E122" s="18"/>
      <c r="F122" s="18"/>
      <c r="G122" s="18"/>
      <c r="H122" s="18"/>
      <c r="I122" s="18"/>
      <c r="J122" s="18"/>
      <c r="K122" s="19"/>
      <c r="L122" s="18"/>
      <c r="M122" s="27"/>
      <c r="N122" s="32"/>
      <c r="O122" s="10"/>
      <c r="P122" s="10"/>
    </row>
    <row r="123" spans="1:20" x14ac:dyDescent="0.25">
      <c r="A123" s="39"/>
      <c r="B123" s="18"/>
      <c r="C123" s="18"/>
      <c r="D123" s="19"/>
      <c r="E123" s="18"/>
      <c r="F123" s="18"/>
      <c r="G123" s="18"/>
      <c r="H123" s="18"/>
      <c r="I123" s="18"/>
      <c r="J123" s="18"/>
      <c r="K123" s="19"/>
      <c r="L123" s="18"/>
      <c r="M123" s="27"/>
      <c r="N123" s="32"/>
      <c r="O123" s="10"/>
      <c r="P123" s="10"/>
    </row>
    <row r="124" spans="1:20" x14ac:dyDescent="0.25">
      <c r="A124" s="40" t="s">
        <v>58</v>
      </c>
      <c r="B124" s="40" t="s">
        <v>58</v>
      </c>
      <c r="C124" s="40" t="s">
        <v>58</v>
      </c>
      <c r="D124" s="40" t="s">
        <v>58</v>
      </c>
      <c r="E124" s="40" t="s">
        <v>58</v>
      </c>
      <c r="F124" s="40" t="s">
        <v>58</v>
      </c>
      <c r="G124" s="40" t="s">
        <v>58</v>
      </c>
      <c r="H124" s="40" t="s">
        <v>58</v>
      </c>
      <c r="I124" s="40" t="s">
        <v>58</v>
      </c>
      <c r="J124" s="40" t="s">
        <v>58</v>
      </c>
      <c r="K124" s="40" t="s">
        <v>58</v>
      </c>
      <c r="L124" s="40" t="s">
        <v>58</v>
      </c>
      <c r="M124" s="40" t="s">
        <v>58</v>
      </c>
      <c r="N124" s="40"/>
      <c r="O124" s="42">
        <f>SUM(O76:O123)</f>
        <v>17210.939999999999</v>
      </c>
      <c r="P124" s="10">
        <v>727.95333333333326</v>
      </c>
      <c r="T124" s="79"/>
    </row>
    <row r="125" spans="1:20" x14ac:dyDescent="0.25">
      <c r="A125" s="39"/>
      <c r="B125" s="18"/>
      <c r="C125" s="18"/>
      <c r="D125" s="19"/>
      <c r="E125" s="18"/>
      <c r="F125" s="18"/>
      <c r="G125" s="18"/>
      <c r="H125" s="18"/>
      <c r="I125" s="18"/>
      <c r="J125" s="18"/>
      <c r="K125" s="19"/>
      <c r="L125" s="18"/>
      <c r="M125" s="24"/>
      <c r="N125" s="32"/>
      <c r="O125" s="44">
        <f>O124/O9</f>
        <v>0.34421879999999999</v>
      </c>
      <c r="P125" s="10">
        <v>26.074999999999999</v>
      </c>
      <c r="Q125" s="75" t="s">
        <v>73</v>
      </c>
    </row>
    <row r="126" spans="1:20" x14ac:dyDescent="0.25">
      <c r="A126" s="40" t="s">
        <v>59</v>
      </c>
      <c r="B126" s="40" t="s">
        <v>59</v>
      </c>
      <c r="C126" s="40" t="s">
        <v>59</v>
      </c>
      <c r="D126" s="40" t="s">
        <v>59</v>
      </c>
      <c r="E126" s="40" t="s">
        <v>59</v>
      </c>
      <c r="F126" s="40" t="s">
        <v>59</v>
      </c>
      <c r="G126" s="40" t="s">
        <v>59</v>
      </c>
      <c r="H126" s="40" t="s">
        <v>59</v>
      </c>
      <c r="I126" s="40" t="s">
        <v>59</v>
      </c>
      <c r="J126" s="40" t="s">
        <v>59</v>
      </c>
      <c r="K126" s="40" t="s">
        <v>59</v>
      </c>
      <c r="L126" s="40" t="s">
        <v>59</v>
      </c>
      <c r="M126" s="40" t="s">
        <v>59</v>
      </c>
      <c r="N126" s="40"/>
      <c r="O126" s="43">
        <f>O73-O124</f>
        <v>8726.8638341437763</v>
      </c>
      <c r="P126" s="10">
        <v>165.93272727272725</v>
      </c>
      <c r="Q126" s="76">
        <f>Q73-O124</f>
        <v>-30300.574166666665</v>
      </c>
    </row>
    <row r="127" spans="1:20" x14ac:dyDescent="0.25">
      <c r="A127" s="39"/>
      <c r="B127" s="18"/>
      <c r="C127" s="18"/>
      <c r="D127" s="19"/>
      <c r="E127" s="18"/>
      <c r="F127" s="18"/>
      <c r="G127" s="18"/>
      <c r="H127" s="18"/>
      <c r="I127" s="18"/>
      <c r="J127" s="18"/>
      <c r="K127" s="19"/>
      <c r="L127" s="18"/>
      <c r="M127" s="24"/>
      <c r="N127" s="32"/>
      <c r="O127" s="44">
        <f>O126/O11</f>
        <v>0.18889370513815043</v>
      </c>
      <c r="P127" s="44">
        <f>P126/P11</f>
        <v>2.9636993832064308E-3</v>
      </c>
      <c r="Q127" s="44">
        <f>Q126/Q11</f>
        <v>-4.4702546214192695</v>
      </c>
    </row>
    <row r="128" spans="1:20" x14ac:dyDescent="0.25">
      <c r="A128" s="41" t="s">
        <v>60</v>
      </c>
      <c r="B128" s="18"/>
      <c r="C128" s="18"/>
      <c r="D128" s="19"/>
      <c r="E128" s="18"/>
      <c r="F128" s="18"/>
      <c r="G128" s="18"/>
      <c r="H128" s="18"/>
      <c r="I128" s="18"/>
      <c r="J128" s="18"/>
      <c r="K128" s="19"/>
      <c r="L128" s="18"/>
      <c r="M128" s="24"/>
      <c r="N128" s="32"/>
      <c r="O128" s="10"/>
      <c r="P128" s="10">
        <v>91.587272727272719</v>
      </c>
    </row>
    <row r="129" spans="1:16" x14ac:dyDescent="0.25">
      <c r="A129" s="39" t="s">
        <v>61</v>
      </c>
      <c r="B129" s="18"/>
      <c r="C129" s="18"/>
      <c r="D129" s="19"/>
      <c r="E129" s="18"/>
      <c r="F129" s="18"/>
      <c r="G129" s="18"/>
      <c r="H129" s="18"/>
      <c r="I129" s="18"/>
      <c r="J129" s="18"/>
      <c r="K129" s="19"/>
      <c r="L129" s="18"/>
      <c r="M129" s="24"/>
      <c r="N129" s="32"/>
      <c r="O129" s="10"/>
      <c r="P129" s="10">
        <v>55.048000000000002</v>
      </c>
    </row>
    <row r="130" spans="1:16" x14ac:dyDescent="0.25">
      <c r="A130" s="39" t="s">
        <v>62</v>
      </c>
      <c r="B130" s="18"/>
      <c r="C130" s="18"/>
      <c r="D130" s="19"/>
      <c r="E130" s="18"/>
      <c r="F130" s="18"/>
      <c r="G130" s="18"/>
      <c r="H130" s="18"/>
      <c r="I130" s="18"/>
      <c r="J130" s="18"/>
      <c r="K130" s="19"/>
      <c r="L130" s="18"/>
      <c r="M130" s="24"/>
      <c r="N130" s="32"/>
      <c r="O130" s="10"/>
      <c r="P130" s="10">
        <v>343.22166666666664</v>
      </c>
    </row>
    <row r="131" spans="1:16" x14ac:dyDescent="0.25">
      <c r="A131" s="39" t="s">
        <v>63</v>
      </c>
      <c r="B131" s="18"/>
      <c r="C131" s="18"/>
      <c r="D131" s="19"/>
      <c r="E131" s="18"/>
      <c r="F131" s="18"/>
      <c r="G131" s="18"/>
      <c r="H131" s="18"/>
      <c r="I131" s="18"/>
      <c r="J131" s="18"/>
      <c r="K131" s="19"/>
      <c r="L131" s="18"/>
      <c r="M131" s="24"/>
      <c r="N131" s="32"/>
      <c r="O131" s="10"/>
      <c r="P131" s="10">
        <v>231.33</v>
      </c>
    </row>
    <row r="132" spans="1:16" x14ac:dyDescent="0.25">
      <c r="A132" s="39" t="s">
        <v>64</v>
      </c>
      <c r="B132" s="3"/>
      <c r="C132" s="3"/>
      <c r="D132" s="28"/>
      <c r="E132" s="3"/>
      <c r="F132" s="3"/>
      <c r="G132" s="3"/>
      <c r="H132" s="3"/>
      <c r="I132" s="3"/>
      <c r="J132" s="3"/>
      <c r="K132" s="28"/>
      <c r="L132" s="3"/>
      <c r="M132" s="17"/>
      <c r="N132" s="29"/>
      <c r="O132" s="45"/>
      <c r="P132" s="8"/>
    </row>
    <row r="133" spans="1:16" x14ac:dyDescent="0.25">
      <c r="A133" s="39" t="s">
        <v>65</v>
      </c>
      <c r="B133" s="21"/>
      <c r="C133" s="21"/>
      <c r="D133" s="22"/>
      <c r="E133" s="21"/>
      <c r="F133" s="21"/>
      <c r="G133" s="21"/>
      <c r="H133" s="21"/>
      <c r="I133" s="21"/>
      <c r="J133" s="21"/>
      <c r="K133" s="22"/>
      <c r="L133" s="21"/>
      <c r="M133" s="23"/>
      <c r="N133" s="31"/>
      <c r="O133" s="52"/>
      <c r="P133" s="12">
        <v>15525.752574675325</v>
      </c>
    </row>
    <row r="134" spans="1:16" x14ac:dyDescent="0.25">
      <c r="A134" s="40" t="s">
        <v>66</v>
      </c>
      <c r="B134" s="40" t="s">
        <v>66</v>
      </c>
      <c r="C134" s="40" t="s">
        <v>66</v>
      </c>
      <c r="D134" s="40" t="s">
        <v>66</v>
      </c>
      <c r="E134" s="40" t="s">
        <v>66</v>
      </c>
      <c r="F134" s="40" t="s">
        <v>66</v>
      </c>
      <c r="G134" s="40" t="s">
        <v>66</v>
      </c>
      <c r="H134" s="40" t="s">
        <v>66</v>
      </c>
      <c r="I134" s="40" t="s">
        <v>66</v>
      </c>
      <c r="J134" s="40" t="s">
        <v>66</v>
      </c>
      <c r="K134" s="40" t="s">
        <v>66</v>
      </c>
      <c r="L134" s="40" t="s">
        <v>66</v>
      </c>
      <c r="M134" s="40" t="s">
        <v>66</v>
      </c>
      <c r="N134" s="40"/>
      <c r="O134" s="42">
        <f>SUM(O129:O133)</f>
        <v>0</v>
      </c>
      <c r="P134" s="12">
        <v>22194.925244434227</v>
      </c>
    </row>
    <row r="135" spans="1:16" x14ac:dyDescent="0.25">
      <c r="A135" s="53"/>
      <c r="B135" s="54"/>
      <c r="C135" s="54"/>
      <c r="D135" s="55"/>
      <c r="E135" s="54"/>
      <c r="F135" s="54"/>
      <c r="G135" s="54"/>
      <c r="H135" s="54"/>
      <c r="I135" s="54"/>
      <c r="J135" s="54"/>
      <c r="K135" s="56"/>
      <c r="L135" s="34"/>
      <c r="M135" s="34"/>
      <c r="N135" s="34"/>
      <c r="O135" s="44">
        <f>O134/O11</f>
        <v>0</v>
      </c>
      <c r="P135" s="13">
        <v>0.27216351529998861</v>
      </c>
    </row>
    <row r="136" spans="1:16" x14ac:dyDescent="0.25">
      <c r="A136" s="57" t="s">
        <v>67</v>
      </c>
      <c r="B136" s="57" t="s">
        <v>67</v>
      </c>
      <c r="C136" s="57" t="s">
        <v>67</v>
      </c>
      <c r="D136" s="57" t="s">
        <v>67</v>
      </c>
      <c r="E136" s="57" t="s">
        <v>67</v>
      </c>
      <c r="F136" s="57" t="s">
        <v>67</v>
      </c>
      <c r="G136" s="57" t="s">
        <v>67</v>
      </c>
      <c r="H136" s="57" t="s">
        <v>67</v>
      </c>
      <c r="I136" s="57" t="s">
        <v>67</v>
      </c>
      <c r="J136" s="57" t="s">
        <v>67</v>
      </c>
      <c r="K136" s="57" t="s">
        <v>67</v>
      </c>
      <c r="L136" s="57" t="s">
        <v>67</v>
      </c>
      <c r="M136" s="57" t="s">
        <v>67</v>
      </c>
      <c r="N136" s="57"/>
      <c r="O136" s="58">
        <f>O126-O134</f>
        <v>8726.8638341437763</v>
      </c>
      <c r="P136" s="14">
        <v>0.38907285474836317</v>
      </c>
    </row>
    <row r="137" spans="1:16" x14ac:dyDescent="0.25">
      <c r="A137" s="53" t="s">
        <v>68</v>
      </c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44">
        <f>O136/O11</f>
        <v>0.18889370513815043</v>
      </c>
    </row>
  </sheetData>
  <pageMargins left="1" right="1" top="1" bottom="1" header="0.5" footer="0.5"/>
  <pageSetup scale="55" fitToHeight="0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1"/>
  <sheetViews>
    <sheetView workbookViewId="0">
      <selection activeCell="F9" sqref="F9"/>
    </sheetView>
  </sheetViews>
  <sheetFormatPr baseColWidth="10" defaultRowHeight="15" x14ac:dyDescent="0.25"/>
  <cols>
    <col min="2" max="2" width="43.42578125" bestFit="1" customWidth="1"/>
    <col min="3" max="3" width="14.42578125" bestFit="1" customWidth="1"/>
  </cols>
  <sheetData>
    <row r="2" spans="2:4" x14ac:dyDescent="0.25">
      <c r="C2" s="72">
        <f>'resultado estimado'!O72</f>
        <v>20262.061999189555</v>
      </c>
    </row>
    <row r="3" spans="2:4" ht="15.75" x14ac:dyDescent="0.25">
      <c r="B3" s="69" t="s">
        <v>72</v>
      </c>
      <c r="C3" s="70">
        <f>C2</f>
        <v>20262.061999189555</v>
      </c>
      <c r="D3" s="37"/>
    </row>
    <row r="4" spans="2:4" x14ac:dyDescent="0.25">
      <c r="B4" s="67" t="s">
        <v>10</v>
      </c>
      <c r="C4" s="68">
        <f>$C$3*D4</f>
        <v>3820.2412787284607</v>
      </c>
      <c r="D4" s="71">
        <v>0.18854158470550841</v>
      </c>
    </row>
    <row r="5" spans="2:4" x14ac:dyDescent="0.25">
      <c r="B5" s="67" t="s">
        <v>11</v>
      </c>
      <c r="C5" s="68">
        <f t="shared" ref="C5:C11" si="0">$C$3*D5</f>
        <v>343.42118752447124</v>
      </c>
      <c r="D5" s="71">
        <v>1.6948975259191659E-2</v>
      </c>
    </row>
    <row r="6" spans="2:4" x14ac:dyDescent="0.25">
      <c r="B6" s="67" t="s">
        <v>12</v>
      </c>
      <c r="C6" s="68">
        <f t="shared" si="0"/>
        <v>4315.6220246569546</v>
      </c>
      <c r="D6" s="71">
        <v>0.21299026845488736</v>
      </c>
    </row>
    <row r="7" spans="2:4" x14ac:dyDescent="0.25">
      <c r="B7" s="67" t="s">
        <v>13</v>
      </c>
      <c r="C7" s="68">
        <f t="shared" si="0"/>
        <v>2238.3315104177059</v>
      </c>
      <c r="D7" s="71">
        <v>0.11046908801815113</v>
      </c>
    </row>
    <row r="8" spans="2:4" x14ac:dyDescent="0.25">
      <c r="B8" s="67" t="s">
        <v>14</v>
      </c>
      <c r="C8" s="68">
        <f t="shared" si="0"/>
        <v>2447.7388934291034</v>
      </c>
      <c r="D8" s="71">
        <v>0.12080403729526681</v>
      </c>
    </row>
    <row r="9" spans="2:4" x14ac:dyDescent="0.25">
      <c r="B9" s="67" t="s">
        <v>15</v>
      </c>
      <c r="C9" s="68">
        <f t="shared" si="0"/>
        <v>1236.623847676841</v>
      </c>
      <c r="D9" s="71">
        <v>6.1031490661034582E-2</v>
      </c>
    </row>
    <row r="10" spans="2:4" x14ac:dyDescent="0.25">
      <c r="B10" s="67" t="s">
        <v>16</v>
      </c>
      <c r="C10" s="68">
        <f t="shared" si="0"/>
        <v>3283.7835740959326</v>
      </c>
      <c r="D10" s="71">
        <v>0.16206561672880471</v>
      </c>
    </row>
    <row r="11" spans="2:4" x14ac:dyDescent="0.25">
      <c r="B11" s="67" t="s">
        <v>17</v>
      </c>
      <c r="C11" s="68">
        <f t="shared" si="0"/>
        <v>2576.2996826600856</v>
      </c>
      <c r="D11" s="71">
        <v>0.12714893887715539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selection activeCell="C10" sqref="C10:C16"/>
    </sheetView>
  </sheetViews>
  <sheetFormatPr baseColWidth="10" defaultRowHeight="15" x14ac:dyDescent="0.25"/>
  <cols>
    <col min="1" max="1" width="10.85546875" bestFit="1" customWidth="1"/>
    <col min="2" max="3" width="18.28515625" customWidth="1"/>
    <col min="4" max="4" width="17.7109375" bestFit="1" customWidth="1"/>
    <col min="5" max="5" width="29" bestFit="1" customWidth="1"/>
    <col min="6" max="6" width="12" bestFit="1" customWidth="1"/>
    <col min="7" max="7" width="16.140625" bestFit="1" customWidth="1"/>
  </cols>
  <sheetData>
    <row r="1" spans="1:8" ht="18.75" x14ac:dyDescent="0.3">
      <c r="A1" s="64" t="s">
        <v>70</v>
      </c>
      <c r="B1" s="64" t="s">
        <v>131</v>
      </c>
      <c r="C1" s="64" t="s">
        <v>130</v>
      </c>
      <c r="D1" s="64" t="s">
        <v>129</v>
      </c>
      <c r="E1" s="64" t="s">
        <v>128</v>
      </c>
      <c r="F1" s="64" t="s">
        <v>132</v>
      </c>
      <c r="G1" s="64"/>
    </row>
    <row r="2" spans="1:8" ht="15.75" x14ac:dyDescent="0.25">
      <c r="A2" s="63">
        <v>45597</v>
      </c>
      <c r="B2">
        <v>1175.32</v>
      </c>
      <c r="C2">
        <v>127.62</v>
      </c>
      <c r="D2" s="65">
        <f>538.28+144.29+421.24</f>
        <v>1103.81</v>
      </c>
      <c r="E2" s="65"/>
      <c r="F2" s="61">
        <f>SUM(B2:E29)</f>
        <v>10161.799999999999</v>
      </c>
      <c r="G2" s="61">
        <v>10578.4</v>
      </c>
    </row>
    <row r="3" spans="1:8" ht="15.75" x14ac:dyDescent="0.25">
      <c r="A3" s="63">
        <v>45598</v>
      </c>
      <c r="B3" s="65">
        <v>913.26</v>
      </c>
      <c r="C3" s="65">
        <v>163.22</v>
      </c>
      <c r="D3" s="65">
        <f>326.25+156.5+464.02</f>
        <v>946.77</v>
      </c>
      <c r="E3" s="65"/>
      <c r="G3" s="61">
        <f>F2-G2</f>
        <v>-416.60000000000036</v>
      </c>
    </row>
    <row r="4" spans="1:8" ht="15.75" x14ac:dyDescent="0.25">
      <c r="A4" s="63">
        <v>45599</v>
      </c>
      <c r="B4" s="65">
        <v>291.89999999999998</v>
      </c>
      <c r="C4" s="65">
        <v>36.6</v>
      </c>
      <c r="D4" s="65">
        <f>163.68+47.96+161.6</f>
        <v>373.24</v>
      </c>
      <c r="E4" s="65"/>
    </row>
    <row r="5" spans="1:8" ht="15.75" x14ac:dyDescent="0.25">
      <c r="A5" s="63">
        <v>45600</v>
      </c>
      <c r="B5" s="65">
        <v>403.78</v>
      </c>
      <c r="C5" s="65">
        <v>24.55</v>
      </c>
      <c r="D5" s="65">
        <f>217.04+65.99+228.39</f>
        <v>511.41999999999996</v>
      </c>
      <c r="E5" s="65"/>
    </row>
    <row r="6" spans="1:8" ht="15.75" x14ac:dyDescent="0.25">
      <c r="A6" s="63">
        <v>45601</v>
      </c>
      <c r="B6" s="65">
        <v>708.28</v>
      </c>
      <c r="C6" s="65">
        <v>98.32</v>
      </c>
      <c r="D6" s="65">
        <f>275.4+83.12+259.27</f>
        <v>617.79</v>
      </c>
      <c r="E6" s="65"/>
      <c r="H6" s="61"/>
    </row>
    <row r="7" spans="1:8" ht="15.75" x14ac:dyDescent="0.25">
      <c r="A7" s="63">
        <v>45602</v>
      </c>
      <c r="B7" s="65">
        <v>678.07</v>
      </c>
      <c r="C7" s="65">
        <v>52.46</v>
      </c>
      <c r="D7" s="65">
        <f>164.13+16.84+127.72</f>
        <v>308.69</v>
      </c>
      <c r="E7" s="65"/>
      <c r="H7" s="61"/>
    </row>
    <row r="8" spans="1:8" ht="15.75" x14ac:dyDescent="0.25">
      <c r="A8" s="63">
        <v>45603</v>
      </c>
      <c r="B8" s="65">
        <v>882.53</v>
      </c>
      <c r="C8" s="65">
        <v>78.75</v>
      </c>
      <c r="D8" s="65">
        <f>335.17+79.76+250.49</f>
        <v>665.42000000000007</v>
      </c>
      <c r="E8" s="65"/>
    </row>
    <row r="9" spans="1:8" ht="15.75" x14ac:dyDescent="0.25">
      <c r="A9" s="63">
        <v>45604</v>
      </c>
      <c r="B9" s="65"/>
      <c r="C9" s="65"/>
      <c r="D9" s="65"/>
      <c r="E9" s="65"/>
    </row>
    <row r="10" spans="1:8" ht="15.75" x14ac:dyDescent="0.25">
      <c r="A10" s="63">
        <v>45605</v>
      </c>
      <c r="B10" s="65"/>
      <c r="C10" s="65"/>
      <c r="D10" s="65"/>
      <c r="E10" s="65"/>
    </row>
    <row r="11" spans="1:8" ht="15.75" x14ac:dyDescent="0.25">
      <c r="A11" s="63">
        <v>45606</v>
      </c>
      <c r="B11" s="65"/>
      <c r="C11" s="65"/>
      <c r="D11" s="65"/>
      <c r="E11" s="65"/>
    </row>
    <row r="12" spans="1:8" ht="15.75" x14ac:dyDescent="0.25">
      <c r="A12" s="63">
        <v>45607</v>
      </c>
      <c r="B12" s="65"/>
      <c r="C12" s="65"/>
      <c r="D12" s="65"/>
      <c r="E12" s="65"/>
    </row>
    <row r="13" spans="1:8" ht="15.75" x14ac:dyDescent="0.25">
      <c r="A13" s="63">
        <v>45608</v>
      </c>
      <c r="B13" s="65"/>
      <c r="C13" s="65"/>
      <c r="D13" s="65"/>
      <c r="E13" s="65"/>
    </row>
    <row r="14" spans="1:8" ht="15.75" x14ac:dyDescent="0.25">
      <c r="A14" s="63">
        <v>45609</v>
      </c>
      <c r="B14" s="65"/>
      <c r="C14" s="65"/>
      <c r="D14" s="65"/>
      <c r="E14" s="65"/>
    </row>
    <row r="15" spans="1:8" ht="15.75" x14ac:dyDescent="0.25">
      <c r="A15" s="63">
        <v>45610</v>
      </c>
      <c r="B15" s="65"/>
      <c r="C15" s="65"/>
      <c r="D15" s="65"/>
      <c r="E15" s="65"/>
    </row>
    <row r="16" spans="1:8" x14ac:dyDescent="0.25">
      <c r="A16" s="63">
        <v>45611</v>
      </c>
      <c r="B16" s="61"/>
      <c r="C16" s="61"/>
      <c r="D16" s="61"/>
      <c r="E16" s="61"/>
    </row>
    <row r="17" spans="1:7" ht="15.75" x14ac:dyDescent="0.25">
      <c r="A17" s="63">
        <v>45612</v>
      </c>
      <c r="B17" s="65"/>
      <c r="C17" s="65"/>
      <c r="D17" s="65"/>
      <c r="E17" s="65"/>
    </row>
    <row r="18" spans="1:7" ht="15.75" x14ac:dyDescent="0.25">
      <c r="A18" s="63">
        <v>45613</v>
      </c>
      <c r="B18" s="65"/>
      <c r="C18" s="65"/>
      <c r="D18" s="65"/>
      <c r="E18" s="65"/>
    </row>
    <row r="19" spans="1:7" x14ac:dyDescent="0.25">
      <c r="A19" s="63"/>
      <c r="B19" s="61"/>
      <c r="C19" s="61"/>
      <c r="D19" s="61"/>
      <c r="E19" s="61"/>
    </row>
    <row r="20" spans="1:7" ht="15.75" x14ac:dyDescent="0.25">
      <c r="A20" s="63"/>
      <c r="B20" s="65"/>
      <c r="C20" s="65"/>
      <c r="D20" s="65"/>
      <c r="E20" s="65"/>
    </row>
    <row r="21" spans="1:7" ht="15.75" x14ac:dyDescent="0.25">
      <c r="A21" s="63"/>
      <c r="B21" s="65"/>
      <c r="C21" s="65"/>
      <c r="D21" s="65"/>
      <c r="E21" s="65"/>
    </row>
    <row r="22" spans="1:7" ht="15.75" x14ac:dyDescent="0.25">
      <c r="A22" s="63"/>
      <c r="B22" s="65"/>
      <c r="C22" s="65"/>
      <c r="D22" s="65"/>
      <c r="E22" s="65"/>
    </row>
    <row r="23" spans="1:7" ht="15.75" x14ac:dyDescent="0.25">
      <c r="A23" s="63"/>
      <c r="B23" s="65"/>
      <c r="C23" s="65"/>
      <c r="D23" s="65"/>
      <c r="E23" s="65"/>
    </row>
    <row r="24" spans="1:7" ht="15.75" x14ac:dyDescent="0.25">
      <c r="A24" s="63"/>
      <c r="B24" s="65"/>
      <c r="C24" s="65"/>
      <c r="D24" s="65"/>
      <c r="E24" s="65"/>
    </row>
    <row r="25" spans="1:7" ht="15.75" x14ac:dyDescent="0.25">
      <c r="A25" s="63"/>
      <c r="B25" s="65"/>
      <c r="C25" s="65"/>
      <c r="D25" s="65"/>
      <c r="E25" s="65"/>
    </row>
    <row r="26" spans="1:7" ht="15.75" x14ac:dyDescent="0.25">
      <c r="A26" s="63"/>
      <c r="B26" s="65"/>
      <c r="C26" s="65"/>
      <c r="D26" s="65"/>
      <c r="E26" s="65"/>
    </row>
    <row r="27" spans="1:7" x14ac:dyDescent="0.25">
      <c r="A27" s="63"/>
      <c r="B27" s="61"/>
      <c r="C27" s="61"/>
      <c r="D27" s="61"/>
      <c r="E27" s="61"/>
      <c r="G27" s="61"/>
    </row>
    <row r="28" spans="1:7" ht="15.75" x14ac:dyDescent="0.25">
      <c r="A28" s="63"/>
      <c r="B28" s="65"/>
      <c r="C28" s="65"/>
      <c r="D28" s="65"/>
      <c r="E28" s="65"/>
    </row>
    <row r="29" spans="1:7" ht="15.75" x14ac:dyDescent="0.25">
      <c r="A29" s="63"/>
      <c r="B29" s="65"/>
      <c r="C29" s="65"/>
      <c r="D29" s="65"/>
      <c r="E29" s="65"/>
    </row>
    <row r="30" spans="1:7" ht="15.75" x14ac:dyDescent="0.25">
      <c r="A30" s="63"/>
      <c r="B30" s="65"/>
      <c r="C30" s="65"/>
      <c r="D30" s="65"/>
      <c r="E30" s="65"/>
    </row>
    <row r="31" spans="1:7" x14ac:dyDescent="0.25">
      <c r="A31" s="63"/>
      <c r="B31" s="61"/>
      <c r="C31" s="61"/>
      <c r="D31" s="61"/>
      <c r="E31" s="61"/>
    </row>
    <row r="32" spans="1:7" x14ac:dyDescent="0.25">
      <c r="A32" s="63"/>
      <c r="B32" s="61"/>
      <c r="C32" s="61"/>
      <c r="D32" s="61"/>
      <c r="E32" s="61"/>
    </row>
    <row r="33" spans="1:1" x14ac:dyDescent="0.25">
      <c r="A33" s="6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484A-1856-44B8-93CA-C80DD36E1CB9}">
  <dimension ref="A1:H33"/>
  <sheetViews>
    <sheetView tabSelected="1" workbookViewId="0">
      <selection activeCell="I2" sqref="I2"/>
    </sheetView>
  </sheetViews>
  <sheetFormatPr baseColWidth="10" defaultRowHeight="15" x14ac:dyDescent="0.25"/>
  <cols>
    <col min="1" max="1" width="10.85546875" bestFit="1" customWidth="1"/>
    <col min="2" max="3" width="18.28515625" customWidth="1"/>
    <col min="4" max="4" width="17.7109375" bestFit="1" customWidth="1"/>
    <col min="5" max="5" width="29" bestFit="1" customWidth="1"/>
    <col min="6" max="6" width="12" bestFit="1" customWidth="1"/>
    <col min="7" max="7" width="16.140625" bestFit="1" customWidth="1"/>
  </cols>
  <sheetData>
    <row r="1" spans="1:8" ht="18.75" x14ac:dyDescent="0.3">
      <c r="A1" s="64" t="s">
        <v>70</v>
      </c>
      <c r="B1" s="64" t="s">
        <v>131</v>
      </c>
      <c r="C1" s="64" t="s">
        <v>130</v>
      </c>
      <c r="D1" s="64" t="s">
        <v>129</v>
      </c>
      <c r="E1" s="64" t="s">
        <v>128</v>
      </c>
      <c r="F1" s="64" t="s">
        <v>132</v>
      </c>
      <c r="G1" s="64"/>
    </row>
    <row r="2" spans="1:8" ht="15.75" x14ac:dyDescent="0.25">
      <c r="A2" s="63">
        <v>45597</v>
      </c>
      <c r="B2">
        <v>1150.32</v>
      </c>
      <c r="D2" s="65"/>
      <c r="E2" s="65"/>
      <c r="F2" s="61">
        <f>SUM(B2:E29)</f>
        <v>9935.5299999999988</v>
      </c>
      <c r="G2" s="61">
        <f>ventas!F2</f>
        <v>10161.799999999999</v>
      </c>
    </row>
    <row r="3" spans="1:8" ht="15.75" x14ac:dyDescent="0.25">
      <c r="A3" s="63">
        <v>45598</v>
      </c>
      <c r="B3" s="65">
        <v>913.26</v>
      </c>
      <c r="C3" s="65"/>
      <c r="D3" s="65"/>
      <c r="E3" s="65"/>
      <c r="G3" s="61">
        <f>F2-G2</f>
        <v>-226.27000000000044</v>
      </c>
    </row>
    <row r="4" spans="1:8" ht="15.75" x14ac:dyDescent="0.25">
      <c r="A4" s="63">
        <v>45599</v>
      </c>
      <c r="B4" s="65">
        <v>291.89999999999998</v>
      </c>
      <c r="C4" s="65"/>
      <c r="D4" s="65"/>
      <c r="E4" s="65"/>
      <c r="G4" s="61">
        <f>G3+ventas!G3</f>
        <v>-642.8700000000008</v>
      </c>
    </row>
    <row r="5" spans="1:8" ht="15.75" x14ac:dyDescent="0.25">
      <c r="A5" s="63">
        <v>45600</v>
      </c>
      <c r="B5" s="65">
        <v>403.78</v>
      </c>
      <c r="C5" s="65"/>
      <c r="D5" s="65"/>
      <c r="E5" s="65"/>
    </row>
    <row r="6" spans="1:8" ht="15.75" x14ac:dyDescent="0.25">
      <c r="A6" s="63">
        <v>45601</v>
      </c>
      <c r="B6" s="65">
        <v>688.28</v>
      </c>
      <c r="C6" s="65"/>
      <c r="D6" s="65"/>
      <c r="E6" s="65"/>
      <c r="H6" s="61"/>
    </row>
    <row r="7" spans="1:8" ht="15.75" x14ac:dyDescent="0.25">
      <c r="A7" s="63">
        <v>45602</v>
      </c>
      <c r="B7" s="65">
        <v>648.07000000000005</v>
      </c>
      <c r="C7" s="65"/>
      <c r="D7" s="65"/>
      <c r="E7" s="65"/>
      <c r="H7" s="61"/>
    </row>
    <row r="8" spans="1:8" ht="15.75" x14ac:dyDescent="0.25">
      <c r="A8" s="63">
        <v>45603</v>
      </c>
      <c r="B8" s="65">
        <v>882.53</v>
      </c>
      <c r="C8" s="65">
        <v>534.78</v>
      </c>
      <c r="D8" s="65">
        <v>4422.6099999999997</v>
      </c>
      <c r="E8" s="65"/>
    </row>
    <row r="9" spans="1:8" ht="15.75" x14ac:dyDescent="0.25">
      <c r="A9" s="63">
        <v>45604</v>
      </c>
      <c r="B9" s="65"/>
      <c r="C9" s="65"/>
      <c r="D9" s="65"/>
      <c r="E9" s="65"/>
    </row>
    <row r="10" spans="1:8" ht="15.75" x14ac:dyDescent="0.25">
      <c r="A10" s="63">
        <v>45605</v>
      </c>
      <c r="B10" s="65"/>
      <c r="C10" s="65"/>
      <c r="D10" s="65"/>
      <c r="E10" s="65"/>
    </row>
    <row r="11" spans="1:8" ht="15.75" x14ac:dyDescent="0.25">
      <c r="A11" s="63">
        <v>45606</v>
      </c>
      <c r="B11" s="65"/>
      <c r="C11" s="65"/>
      <c r="D11" s="65"/>
      <c r="E11" s="65"/>
      <c r="H11">
        <f>78.75+52.46+98.32+24.55+36.6+163.22+127.62</f>
        <v>581.52</v>
      </c>
    </row>
    <row r="12" spans="1:8" ht="15.75" x14ac:dyDescent="0.25">
      <c r="A12" s="63">
        <v>45607</v>
      </c>
      <c r="B12" s="65"/>
      <c r="C12" s="65"/>
      <c r="D12" s="65"/>
      <c r="E12" s="65"/>
    </row>
    <row r="13" spans="1:8" ht="15.75" x14ac:dyDescent="0.25">
      <c r="A13" s="63">
        <v>45608</v>
      </c>
      <c r="B13" s="65"/>
      <c r="C13" s="65"/>
      <c r="D13" s="65"/>
      <c r="E13" s="65"/>
    </row>
    <row r="14" spans="1:8" ht="15.75" x14ac:dyDescent="0.25">
      <c r="A14" s="63">
        <v>45609</v>
      </c>
      <c r="B14" s="65"/>
      <c r="C14" s="65"/>
      <c r="D14" s="65"/>
      <c r="E14" s="65"/>
    </row>
    <row r="15" spans="1:8" ht="15.75" x14ac:dyDescent="0.25">
      <c r="A15" s="63">
        <v>45610</v>
      </c>
      <c r="B15" s="65"/>
      <c r="C15" s="65"/>
      <c r="D15" s="65"/>
      <c r="E15" s="65"/>
    </row>
    <row r="16" spans="1:8" x14ac:dyDescent="0.25">
      <c r="A16" s="63">
        <v>45611</v>
      </c>
      <c r="B16" s="61"/>
      <c r="C16" s="61"/>
      <c r="D16" s="61"/>
      <c r="E16" s="61"/>
    </row>
    <row r="17" spans="1:7" ht="15.75" x14ac:dyDescent="0.25">
      <c r="A17" s="63">
        <v>45612</v>
      </c>
      <c r="B17" s="65"/>
      <c r="C17" s="65"/>
      <c r="D17" s="65"/>
      <c r="E17" s="65"/>
    </row>
    <row r="18" spans="1:7" ht="15.75" x14ac:dyDescent="0.25">
      <c r="A18" s="63">
        <v>45613</v>
      </c>
      <c r="B18" s="65"/>
      <c r="C18" s="65"/>
      <c r="D18" s="65"/>
      <c r="E18" s="65"/>
    </row>
    <row r="19" spans="1:7" x14ac:dyDescent="0.25">
      <c r="A19" s="63"/>
      <c r="B19" s="61"/>
      <c r="C19" s="61"/>
      <c r="D19" s="61"/>
      <c r="E19" s="61"/>
    </row>
    <row r="20" spans="1:7" ht="15.75" x14ac:dyDescent="0.25">
      <c r="A20" s="63"/>
      <c r="B20" s="65"/>
      <c r="C20" s="65"/>
      <c r="D20" s="65"/>
      <c r="E20" s="65"/>
    </row>
    <row r="21" spans="1:7" ht="15.75" x14ac:dyDescent="0.25">
      <c r="A21" s="63"/>
      <c r="B21" s="65"/>
      <c r="C21" s="65"/>
      <c r="D21" s="65"/>
      <c r="E21" s="65"/>
    </row>
    <row r="22" spans="1:7" ht="15.75" x14ac:dyDescent="0.25">
      <c r="A22" s="63"/>
      <c r="B22" s="65"/>
      <c r="C22" s="65"/>
      <c r="D22" s="65"/>
      <c r="E22" s="65"/>
    </row>
    <row r="23" spans="1:7" ht="15.75" x14ac:dyDescent="0.25">
      <c r="A23" s="63"/>
      <c r="B23" s="65"/>
      <c r="C23" s="65"/>
      <c r="D23" s="65"/>
      <c r="E23" s="65"/>
    </row>
    <row r="24" spans="1:7" ht="15.75" x14ac:dyDescent="0.25">
      <c r="A24" s="63"/>
      <c r="B24" s="65"/>
      <c r="C24" s="65"/>
      <c r="D24" s="65"/>
      <c r="E24" s="65"/>
    </row>
    <row r="25" spans="1:7" ht="15.75" x14ac:dyDescent="0.25">
      <c r="A25" s="63"/>
      <c r="B25" s="65"/>
      <c r="C25" s="65"/>
      <c r="D25" s="65"/>
      <c r="E25" s="65"/>
    </row>
    <row r="26" spans="1:7" ht="15.75" x14ac:dyDescent="0.25">
      <c r="A26" s="63"/>
      <c r="B26" s="65"/>
      <c r="C26" s="65"/>
      <c r="D26" s="65"/>
      <c r="E26" s="65"/>
    </row>
    <row r="27" spans="1:7" x14ac:dyDescent="0.25">
      <c r="A27" s="63"/>
      <c r="B27" s="61"/>
      <c r="C27" s="61"/>
      <c r="D27" s="61"/>
      <c r="E27" s="61"/>
      <c r="G27" s="61"/>
    </row>
    <row r="28" spans="1:7" ht="15.75" x14ac:dyDescent="0.25">
      <c r="A28" s="63"/>
      <c r="B28" s="65"/>
      <c r="C28" s="65"/>
      <c r="D28" s="65"/>
      <c r="E28" s="65"/>
    </row>
    <row r="29" spans="1:7" ht="15.75" x14ac:dyDescent="0.25">
      <c r="A29" s="63"/>
      <c r="B29" s="65"/>
      <c r="C29" s="65"/>
      <c r="D29" s="65"/>
      <c r="E29" s="65"/>
    </row>
    <row r="30" spans="1:7" ht="15.75" x14ac:dyDescent="0.25">
      <c r="A30" s="63"/>
      <c r="B30" s="65"/>
      <c r="C30" s="65"/>
      <c r="D30" s="65"/>
      <c r="E30" s="65"/>
    </row>
    <row r="31" spans="1:7" x14ac:dyDescent="0.25">
      <c r="A31" s="63"/>
      <c r="B31" s="61"/>
      <c r="C31" s="61"/>
      <c r="D31" s="61"/>
      <c r="E31" s="61"/>
    </row>
    <row r="32" spans="1:7" x14ac:dyDescent="0.25">
      <c r="A32" s="63"/>
      <c r="B32" s="61"/>
      <c r="C32" s="61"/>
      <c r="D32" s="61"/>
      <c r="E32" s="61"/>
    </row>
    <row r="33" spans="1:1" x14ac:dyDescent="0.25">
      <c r="A33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resultado estimado</vt:lpstr>
      <vt:lpstr>Hoja1</vt:lpstr>
      <vt:lpstr>ventas</vt:lpstr>
      <vt:lpstr>ventas 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Italos restaurante</dc:creator>
  <cp:lastModifiedBy>Italos restaurante</cp:lastModifiedBy>
  <cp:lastPrinted>2024-06-04T21:09:23Z</cp:lastPrinted>
  <dcterms:created xsi:type="dcterms:W3CDTF">2023-11-22T20:46:52Z</dcterms:created>
  <dcterms:modified xsi:type="dcterms:W3CDTF">2025-11-08T17:30:26Z</dcterms:modified>
</cp:coreProperties>
</file>