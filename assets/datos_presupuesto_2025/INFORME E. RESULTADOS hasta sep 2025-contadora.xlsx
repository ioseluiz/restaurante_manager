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dia\OneDrive\Documentos\GRUPO PILAT, S.A\"/>
    </mc:Choice>
  </mc:AlternateContent>
  <xr:revisionPtr revIDLastSave="0" documentId="8_{60AC753C-0EDB-4DA5-9F90-942058A1723F}" xr6:coauthVersionLast="47" xr6:coauthVersionMax="47" xr10:uidLastSave="{00000000-0000-0000-0000-000000000000}"/>
  <bookViews>
    <workbookView xWindow="-108" yWindow="-108" windowWidth="23256" windowHeight="12456" xr2:uid="{09FBC0A5-DFC8-4C14-8EA1-716D11A1D661}"/>
  </bookViews>
  <sheets>
    <sheet name="Income Stmnt" sheetId="1" r:id="rId1"/>
  </sheets>
  <definedNames>
    <definedName name="_xlnm.Print_Titles" localSheetId="0">'Income Stmnt'!$1:$1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B77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0" i="1"/>
  <c r="C19" i="1"/>
  <c r="C18" i="1"/>
  <c r="C17" i="1"/>
  <c r="C16" i="1"/>
  <c r="C15" i="1"/>
  <c r="C14" i="1"/>
  <c r="C13" i="1"/>
  <c r="C12" i="1"/>
  <c r="B8" i="1"/>
  <c r="C6" i="1"/>
  <c r="C5" i="1"/>
  <c r="C4" i="1"/>
  <c r="C3" i="1"/>
  <c r="C8" i="1" s="1"/>
  <c r="B24" i="1" l="1"/>
  <c r="B79" i="1" s="1"/>
  <c r="C22" i="1"/>
  <c r="C24" i="1" s="1"/>
  <c r="C77" i="1"/>
  <c r="C79" i="1" l="1"/>
</calcChain>
</file>

<file path=xl/sharedStrings.xml><?xml version="1.0" encoding="utf-8"?>
<sst xmlns="http://schemas.openxmlformats.org/spreadsheetml/2006/main" count="72" uniqueCount="72">
  <si>
    <t>Current
Month</t>
  </si>
  <si>
    <t>Revenues</t>
  </si>
  <si>
    <t>Ingresos</t>
  </si>
  <si>
    <t>Ventas no gravadas</t>
  </si>
  <si>
    <t>Ingresos por Intereses Cta Aho</t>
  </si>
  <si>
    <t>Ingresos Otros</t>
  </si>
  <si>
    <t>Total Revenues</t>
  </si>
  <si>
    <t/>
  </si>
  <si>
    <t>Cost of Sales</t>
  </si>
  <si>
    <t>Costos de Ventas</t>
  </si>
  <si>
    <t>Carnes y Puercos</t>
  </si>
  <si>
    <t>Pollo</t>
  </si>
  <si>
    <t>Mariscos</t>
  </si>
  <si>
    <t>Viveres (menestras Ketchup Otr</t>
  </si>
  <si>
    <t>Sodas Refrescos Agua</t>
  </si>
  <si>
    <t>Arroz Legumbres Papitas</t>
  </si>
  <si>
    <t>Fiambreras Envases Otros</t>
  </si>
  <si>
    <t>Gas</t>
  </si>
  <si>
    <t>Total Cost of Sales</t>
  </si>
  <si>
    <t>Gross Profit</t>
  </si>
  <si>
    <t>Expenses</t>
  </si>
  <si>
    <t>Gastos Operativos</t>
  </si>
  <si>
    <t>Salarios</t>
  </si>
  <si>
    <t>Vacaciones</t>
  </si>
  <si>
    <t>XIII Mes</t>
  </si>
  <si>
    <t>Prima de Antiguedad</t>
  </si>
  <si>
    <t>Indemnización</t>
  </si>
  <si>
    <t>Preaviso</t>
  </si>
  <si>
    <t>Cuota Patronal CSS</t>
  </si>
  <si>
    <t>Alquiler Local</t>
  </si>
  <si>
    <t>Electricidad</t>
  </si>
  <si>
    <t>Telefonía e Internet</t>
  </si>
  <si>
    <t>Agua y Aseo</t>
  </si>
  <si>
    <t>Cargos Bancarios</t>
  </si>
  <si>
    <t>Cargos de Tarjetas de Crédito</t>
  </si>
  <si>
    <t>Seguros</t>
  </si>
  <si>
    <t>Honorarios Profesionales</t>
  </si>
  <si>
    <t>Atención al Cliente</t>
  </si>
  <si>
    <t>Faltantes y Sobrantes</t>
  </si>
  <si>
    <t>VARIOS</t>
  </si>
  <si>
    <t>Atención Empleado</t>
  </si>
  <si>
    <t>Fletes y Acarreos</t>
  </si>
  <si>
    <t>Gasolina y Lubricante</t>
  </si>
  <si>
    <t>Gasto de ITBMS</t>
  </si>
  <si>
    <t>Donación</t>
  </si>
  <si>
    <t>Legales y Notariales</t>
  </si>
  <si>
    <t>Herramientas Pequeñas</t>
  </si>
  <si>
    <t>Impresos, Materiales e insumos</t>
  </si>
  <si>
    <t>Reparacion y Mant. Freidora In</t>
  </si>
  <si>
    <t>Reparación Equi de Informática</t>
  </si>
  <si>
    <t>Reparación y Mant. Eq de Ofici</t>
  </si>
  <si>
    <t>Reparación y Mant. Eq de Segur</t>
  </si>
  <si>
    <t>Reparación y Mant. Eq de Rodan</t>
  </si>
  <si>
    <t>Rep. y Mant. de Ofic/Local</t>
  </si>
  <si>
    <t>Gastos Médicos</t>
  </si>
  <si>
    <t>Papelería y Fotocopia</t>
  </si>
  <si>
    <t>Peajes, Estacionamientos</t>
  </si>
  <si>
    <t>Programas y Licencias</t>
  </si>
  <si>
    <t>Publicidad y Marketing</t>
  </si>
  <si>
    <t>Regalo Navideño</t>
  </si>
  <si>
    <t>Uniformes</t>
  </si>
  <si>
    <t>Útiles de Aseo</t>
  </si>
  <si>
    <t>Viático</t>
  </si>
  <si>
    <t>FUMIGACION</t>
  </si>
  <si>
    <t>Gastos no Operativos</t>
  </si>
  <si>
    <t>Intereses por Préstamos Comerc</t>
  </si>
  <si>
    <t>Comisiones y C. Banc -Prest/LC</t>
  </si>
  <si>
    <t>Imp. (Tasa Unic, Aviso Otros)</t>
  </si>
  <si>
    <t>Multas y Recargos sobre Impues</t>
  </si>
  <si>
    <t>Depreciación y Amortización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</si>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</sst>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267F-CE0A-459A-8017-365932B8C0C8}">
  <dimension ref="A1:C80"/>
  <sheetViews>
    <sheetView tabSelected="1" workbookViewId="0">
      <pane ySplit="1" topLeftCell="A2" activePane="bottomLeft" state="frozenSplit"/>
      <selection pane="bottomLeft" activeCell="E4" sqref="E4"/>
    </sheetView>
  </sheetViews>
  <sheetFormatPr defaultRowHeight="13.2" x14ac:dyDescent="0.25"/>
  <cols>
    <col min="1" max="1" width="33.77734375" style="1" customWidth="1"/>
    <col min="2" max="2" width="14.77734375" style="1" customWidth="1"/>
    <col min="3" max="3" width="8.77734375" style="1" customWidth="1"/>
    <col min="4" max="16384" width="8.88671875" style="1"/>
  </cols>
  <sheetData>
    <row r="1" spans="1:3" ht="26.4" x14ac:dyDescent="0.25">
      <c r="A1" s="2"/>
      <c r="B1" s="3" t="s">
        <v>0</v>
      </c>
      <c r="C1" s="2"/>
    </row>
    <row r="2" spans="1:3" x14ac:dyDescent="0.25">
      <c r="A2" s="4" t="s">
        <v>1</v>
      </c>
    </row>
    <row r="3" spans="1:3" x14ac:dyDescent="0.25">
      <c r="A3" s="4" t="s">
        <v>2</v>
      </c>
      <c r="B3" s="5">
        <v>0</v>
      </c>
      <c r="C3" s="6">
        <f>IF(48823.27&lt;&gt;0, (B3/48823.27)*100, 0)</f>
        <v>0</v>
      </c>
    </row>
    <row r="4" spans="1:3" x14ac:dyDescent="0.25">
      <c r="A4" s="4" t="s">
        <v>3</v>
      </c>
      <c r="B4" s="6">
        <v>42160.12</v>
      </c>
      <c r="C4" s="6">
        <f>IF(48823.27&lt;&gt;0, (B4/48823.27)*100, 0)</f>
        <v>86.352511824791762</v>
      </c>
    </row>
    <row r="5" spans="1:3" x14ac:dyDescent="0.25">
      <c r="A5" s="4" t="s">
        <v>4</v>
      </c>
      <c r="B5" s="6">
        <v>0</v>
      </c>
      <c r="C5" s="6">
        <f>IF(48823.27&lt;&gt;0, (B5/48823.27)*100, 0)</f>
        <v>0</v>
      </c>
    </row>
    <row r="6" spans="1:3" x14ac:dyDescent="0.25">
      <c r="A6" s="4" t="s">
        <v>5</v>
      </c>
      <c r="B6" s="6">
        <v>6663.15</v>
      </c>
      <c r="C6" s="6">
        <f>IF(48823.27&lt;&gt;0, (B6/48823.27)*100, 0)</f>
        <v>13.647488175208256</v>
      </c>
    </row>
    <row r="7" spans="1:3" customFormat="1" ht="14.4" x14ac:dyDescent="0.3">
      <c r="A7" s="7"/>
      <c r="B7" s="9"/>
      <c r="C7" s="8"/>
    </row>
    <row r="8" spans="1:3" x14ac:dyDescent="0.25">
      <c r="A8" s="4" t="s">
        <v>6</v>
      </c>
      <c r="B8" s="6">
        <f>ROUND(SUBTOTAL(9, B2:B7), 5)</f>
        <v>48823.27</v>
      </c>
      <c r="C8" s="6">
        <f>ROUND(SUBTOTAL(9, C2:C7), 5)</f>
        <v>100</v>
      </c>
    </row>
    <row r="9" spans="1:3" customFormat="1" ht="14.4" x14ac:dyDescent="0.3">
      <c r="A9" s="7"/>
      <c r="B9" s="9"/>
      <c r="C9" s="8"/>
    </row>
    <row r="10" spans="1:3" x14ac:dyDescent="0.25">
      <c r="A10" s="2" t="s">
        <v>7</v>
      </c>
    </row>
    <row r="11" spans="1:3" x14ac:dyDescent="0.25">
      <c r="A11" s="4" t="s">
        <v>8</v>
      </c>
    </row>
    <row r="12" spans="1:3" x14ac:dyDescent="0.25">
      <c r="A12" s="4" t="s">
        <v>9</v>
      </c>
      <c r="B12" s="6">
        <v>0</v>
      </c>
      <c r="C12" s="6">
        <f>IF(48823.27&lt;&gt;0, (B12/48823.27)*100, 0)</f>
        <v>0</v>
      </c>
    </row>
    <row r="13" spans="1:3" x14ac:dyDescent="0.25">
      <c r="A13" s="4" t="s">
        <v>10</v>
      </c>
      <c r="B13" s="6">
        <v>6060.91</v>
      </c>
      <c r="C13" s="6">
        <f>IF(48823.27&lt;&gt;0, (B13/48823.27)*100, 0)</f>
        <v>12.413978006798807</v>
      </c>
    </row>
    <row r="14" spans="1:3" x14ac:dyDescent="0.25">
      <c r="A14" s="4" t="s">
        <v>11</v>
      </c>
      <c r="B14" s="6">
        <v>5978.23</v>
      </c>
      <c r="C14" s="6">
        <f>IF(48823.27&lt;&gt;0, (B14/48823.27)*100, 0)</f>
        <v>12.244632528710182</v>
      </c>
    </row>
    <row r="15" spans="1:3" x14ac:dyDescent="0.25">
      <c r="A15" s="4" t="s">
        <v>12</v>
      </c>
      <c r="B15" s="6">
        <v>298.75</v>
      </c>
      <c r="C15" s="6">
        <f>IF(48823.27&lt;&gt;0, (B15/48823.27)*100, 0)</f>
        <v>0.61190084154543523</v>
      </c>
    </row>
    <row r="16" spans="1:3" x14ac:dyDescent="0.25">
      <c r="A16" s="4" t="s">
        <v>13</v>
      </c>
      <c r="B16" s="6">
        <v>5365.1</v>
      </c>
      <c r="C16" s="6">
        <f>IF(48823.27&lt;&gt;0, (B16/48823.27)*100, 0)</f>
        <v>10.988817422511849</v>
      </c>
    </row>
    <row r="17" spans="1:3" x14ac:dyDescent="0.25">
      <c r="A17" s="4" t="s">
        <v>14</v>
      </c>
      <c r="B17" s="6">
        <v>1782.09</v>
      </c>
      <c r="C17" s="6">
        <f>IF(48823.27&lt;&gt;0, (B17/48823.27)*100, 0)</f>
        <v>3.6500832492375048</v>
      </c>
    </row>
    <row r="18" spans="1:3" x14ac:dyDescent="0.25">
      <c r="A18" s="4" t="s">
        <v>15</v>
      </c>
      <c r="B18" s="6">
        <v>2650.11</v>
      </c>
      <c r="C18" s="6">
        <f>IF(48823.27&lt;&gt;0, (B18/48823.27)*100, 0)</f>
        <v>5.4279649847296181</v>
      </c>
    </row>
    <row r="19" spans="1:3" x14ac:dyDescent="0.25">
      <c r="A19" s="4" t="s">
        <v>16</v>
      </c>
      <c r="B19" s="6">
        <v>1047.9000000000001</v>
      </c>
      <c r="C19" s="6">
        <f>IF(48823.27&lt;&gt;0, (B19/48823.27)*100, 0)</f>
        <v>2.1463126087212103</v>
      </c>
    </row>
    <row r="20" spans="1:3" x14ac:dyDescent="0.25">
      <c r="A20" s="4" t="s">
        <v>17</v>
      </c>
      <c r="B20" s="6">
        <v>2184.48</v>
      </c>
      <c r="C20" s="6">
        <f>IF(48823.27&lt;&gt;0, (B20/48823.27)*100, 0)</f>
        <v>4.4742599174532964</v>
      </c>
    </row>
    <row r="21" spans="1:3" customFormat="1" ht="14.4" x14ac:dyDescent="0.3">
      <c r="A21" s="7"/>
      <c r="B21" s="9"/>
      <c r="C21" s="8"/>
    </row>
    <row r="22" spans="1:3" x14ac:dyDescent="0.25">
      <c r="A22" s="4" t="s">
        <v>18</v>
      </c>
      <c r="B22" s="6">
        <f>ROUND(SUBTOTAL(9, B10:B21), 5)</f>
        <v>25367.57</v>
      </c>
      <c r="C22" s="6">
        <f>ROUND(SUBTOTAL(9, C10:C21), 5)</f>
        <v>51.957949999999997</v>
      </c>
    </row>
    <row r="23" spans="1:3" customFormat="1" ht="14.4" x14ac:dyDescent="0.3">
      <c r="A23" s="7"/>
      <c r="B23" s="9"/>
      <c r="C23" s="8"/>
    </row>
    <row r="24" spans="1:3" x14ac:dyDescent="0.25">
      <c r="A24" s="4" t="s">
        <v>19</v>
      </c>
      <c r="B24" s="6">
        <f>-(ROUND(-B8+B22, 5))</f>
        <v>23455.7</v>
      </c>
      <c r="C24" s="6">
        <f>-(ROUND(-C8+C22, 5))</f>
        <v>48.042050000000003</v>
      </c>
    </row>
    <row r="25" spans="1:3" customFormat="1" ht="14.4" x14ac:dyDescent="0.3">
      <c r="A25" s="7"/>
      <c r="B25" s="9"/>
      <c r="C25" s="8"/>
    </row>
    <row r="26" spans="1:3" x14ac:dyDescent="0.25">
      <c r="A26" s="4" t="s">
        <v>20</v>
      </c>
    </row>
    <row r="27" spans="1:3" x14ac:dyDescent="0.25">
      <c r="A27" s="4" t="s">
        <v>21</v>
      </c>
      <c r="B27" s="6">
        <v>0</v>
      </c>
      <c r="C27" s="6">
        <f>IF(48823.27&lt;&gt;0, (B27/48823.27)*100, 0)</f>
        <v>0</v>
      </c>
    </row>
    <row r="28" spans="1:3" x14ac:dyDescent="0.25">
      <c r="A28" s="4" t="s">
        <v>22</v>
      </c>
      <c r="B28" s="6">
        <v>4912.3900000000003</v>
      </c>
      <c r="C28" s="6">
        <f>IF(48823.27&lt;&gt;0, (B28/48823.27)*100, 0)</f>
        <v>10.061575146441443</v>
      </c>
    </row>
    <row r="29" spans="1:3" x14ac:dyDescent="0.25">
      <c r="A29" s="4" t="s">
        <v>23</v>
      </c>
      <c r="B29" s="6">
        <v>0</v>
      </c>
      <c r="C29" s="6">
        <f>IF(48823.27&lt;&gt;0, (B29/48823.27)*100, 0)</f>
        <v>0</v>
      </c>
    </row>
    <row r="30" spans="1:3" x14ac:dyDescent="0.25">
      <c r="A30" s="4" t="s">
        <v>24</v>
      </c>
      <c r="B30" s="6">
        <v>0</v>
      </c>
      <c r="C30" s="6">
        <f>IF(48823.27&lt;&gt;0, (B30/48823.27)*100, 0)</f>
        <v>0</v>
      </c>
    </row>
    <row r="31" spans="1:3" x14ac:dyDescent="0.25">
      <c r="A31" s="4" t="s">
        <v>25</v>
      </c>
      <c r="B31" s="6">
        <v>0</v>
      </c>
      <c r="C31" s="6">
        <f>IF(48823.27&lt;&gt;0, (B31/48823.27)*100, 0)</f>
        <v>0</v>
      </c>
    </row>
    <row r="32" spans="1:3" x14ac:dyDescent="0.25">
      <c r="A32" s="4" t="s">
        <v>26</v>
      </c>
      <c r="B32" s="6">
        <v>0</v>
      </c>
      <c r="C32" s="6">
        <f>IF(48823.27&lt;&gt;0, (B32/48823.27)*100, 0)</f>
        <v>0</v>
      </c>
    </row>
    <row r="33" spans="1:3" x14ac:dyDescent="0.25">
      <c r="A33" s="4" t="s">
        <v>27</v>
      </c>
      <c r="B33" s="6">
        <v>0</v>
      </c>
      <c r="C33" s="6">
        <f>IF(48823.27&lt;&gt;0, (B33/48823.27)*100, 0)</f>
        <v>0</v>
      </c>
    </row>
    <row r="34" spans="1:3" x14ac:dyDescent="0.25">
      <c r="A34" s="4" t="s">
        <v>28</v>
      </c>
      <c r="B34" s="6">
        <v>996.24</v>
      </c>
      <c r="C34" s="6">
        <f>IF(48823.27&lt;&gt;0, (B34/48823.27)*100, 0)</f>
        <v>2.0405024079706258</v>
      </c>
    </row>
    <row r="35" spans="1:3" x14ac:dyDescent="0.25">
      <c r="A35" s="4" t="s">
        <v>29</v>
      </c>
      <c r="B35" s="6">
        <v>2150</v>
      </c>
      <c r="C35" s="6">
        <f>IF(48823.27&lt;&gt;0, (B35/48823.27)*100, 0)</f>
        <v>4.4036378554734252</v>
      </c>
    </row>
    <row r="36" spans="1:3" x14ac:dyDescent="0.25">
      <c r="A36" s="4" t="s">
        <v>30</v>
      </c>
      <c r="B36" s="6">
        <v>1421.6</v>
      </c>
      <c r="C36" s="6">
        <f>IF(48823.27&lt;&gt;0, (B36/48823.27)*100, 0)</f>
        <v>2.9117263141121024</v>
      </c>
    </row>
    <row r="37" spans="1:3" x14ac:dyDescent="0.25">
      <c r="A37" s="4" t="s">
        <v>31</v>
      </c>
      <c r="B37" s="6">
        <v>76.349999999999994</v>
      </c>
      <c r="C37" s="6">
        <f>IF(48823.27&lt;&gt;0, (B37/48823.27)*100, 0)</f>
        <v>0.15638034896064931</v>
      </c>
    </row>
    <row r="38" spans="1:3" x14ac:dyDescent="0.25">
      <c r="A38" s="4" t="s">
        <v>32</v>
      </c>
      <c r="B38" s="6">
        <v>19.760000000000002</v>
      </c>
      <c r="C38" s="6">
        <f>IF(48823.27&lt;&gt;0, (B38/48823.27)*100, 0)</f>
        <v>4.0472504197281343E-2</v>
      </c>
    </row>
    <row r="39" spans="1:3" x14ac:dyDescent="0.25">
      <c r="A39" s="4" t="s">
        <v>33</v>
      </c>
      <c r="B39" s="6">
        <v>68.150000000000006</v>
      </c>
      <c r="C39" s="6">
        <f>IF(48823.27&lt;&gt;0, (B39/48823.27)*100, 0)</f>
        <v>0.13958507900023903</v>
      </c>
    </row>
    <row r="40" spans="1:3" x14ac:dyDescent="0.25">
      <c r="A40" s="4" t="s">
        <v>34</v>
      </c>
      <c r="B40" s="6">
        <v>0</v>
      </c>
      <c r="C40" s="6">
        <f>IF(48823.27&lt;&gt;0, (B40/48823.27)*100, 0)</f>
        <v>0</v>
      </c>
    </row>
    <row r="41" spans="1:3" x14ac:dyDescent="0.25">
      <c r="A41" s="4" t="s">
        <v>35</v>
      </c>
      <c r="B41" s="6">
        <v>149.91999999999999</v>
      </c>
      <c r="C41" s="6">
        <f>IF(48823.27&lt;&gt;0, (B41/48823.27)*100, 0)</f>
        <v>0.30706669176398876</v>
      </c>
    </row>
    <row r="42" spans="1:3" x14ac:dyDescent="0.25">
      <c r="A42" s="4" t="s">
        <v>36</v>
      </c>
      <c r="B42" s="6">
        <v>1399.8</v>
      </c>
      <c r="C42" s="6">
        <f>IF(48823.27&lt;&gt;0, (B42/48823.27)*100, 0)</f>
        <v>2.8670754744612559</v>
      </c>
    </row>
    <row r="43" spans="1:3" x14ac:dyDescent="0.25">
      <c r="A43" s="4" t="s">
        <v>37</v>
      </c>
      <c r="B43" s="6">
        <v>453.66</v>
      </c>
      <c r="C43" s="6">
        <f>IF(48823.27&lt;&gt;0, (B43/48823.27)*100, 0)</f>
        <v>0.92918806954142985</v>
      </c>
    </row>
    <row r="44" spans="1:3" x14ac:dyDescent="0.25">
      <c r="A44" s="4" t="s">
        <v>38</v>
      </c>
      <c r="B44" s="6">
        <v>-752.45</v>
      </c>
      <c r="C44" s="6">
        <f>IF(48823.27&lt;&gt;0, (B44/48823.27)*100, 0)</f>
        <v>-1.5411708392330135</v>
      </c>
    </row>
    <row r="45" spans="1:3" x14ac:dyDescent="0.25">
      <c r="A45" s="4" t="s">
        <v>39</v>
      </c>
      <c r="B45" s="6">
        <v>15</v>
      </c>
      <c r="C45" s="6">
        <f>IF(48823.27&lt;&gt;0, (B45/48823.27)*100, 0)</f>
        <v>3.072305480562855E-2</v>
      </c>
    </row>
    <row r="46" spans="1:3" x14ac:dyDescent="0.25">
      <c r="A46" s="4" t="s">
        <v>40</v>
      </c>
      <c r="B46" s="6">
        <v>453.66</v>
      </c>
      <c r="C46" s="6">
        <f>IF(48823.27&lt;&gt;0, (B46/48823.27)*100, 0)</f>
        <v>0.92918806954142985</v>
      </c>
    </row>
    <row r="47" spans="1:3" x14ac:dyDescent="0.25">
      <c r="A47" s="4" t="s">
        <v>41</v>
      </c>
      <c r="B47" s="6">
        <v>60</v>
      </c>
      <c r="C47" s="6">
        <f>IF(48823.27&lt;&gt;0, (B47/48823.27)*100, 0)</f>
        <v>0.1228922192225142</v>
      </c>
    </row>
    <row r="48" spans="1:3" x14ac:dyDescent="0.25">
      <c r="A48" s="4" t="s">
        <v>42</v>
      </c>
      <c r="B48" s="6">
        <v>229.51</v>
      </c>
      <c r="C48" s="6">
        <f>IF(48823.27&lt;&gt;0, (B48/48823.27)*100, 0)</f>
        <v>0.47008322056265384</v>
      </c>
    </row>
    <row r="49" spans="1:3" x14ac:dyDescent="0.25">
      <c r="A49" s="4" t="s">
        <v>43</v>
      </c>
      <c r="B49" s="6">
        <v>38.71</v>
      </c>
      <c r="C49" s="6">
        <f>IF(48823.27&lt;&gt;0, (B49/48823.27)*100, 0)</f>
        <v>7.928596343505874E-2</v>
      </c>
    </row>
    <row r="50" spans="1:3" x14ac:dyDescent="0.25">
      <c r="A50" s="4" t="s">
        <v>44</v>
      </c>
      <c r="B50" s="6">
        <v>765</v>
      </c>
      <c r="C50" s="6">
        <f>IF(48823.27&lt;&gt;0, (B50/48823.27)*100, 0)</f>
        <v>1.5668757950870558</v>
      </c>
    </row>
    <row r="51" spans="1:3" x14ac:dyDescent="0.25">
      <c r="A51" s="4" t="s">
        <v>45</v>
      </c>
      <c r="B51" s="6">
        <v>0</v>
      </c>
      <c r="C51" s="6">
        <f>IF(48823.27&lt;&gt;0, (B51/48823.27)*100, 0)</f>
        <v>0</v>
      </c>
    </row>
    <row r="52" spans="1:3" x14ac:dyDescent="0.25">
      <c r="A52" s="4" t="s">
        <v>46</v>
      </c>
      <c r="B52" s="6">
        <v>0</v>
      </c>
      <c r="C52" s="6">
        <f>IF(48823.27&lt;&gt;0, (B52/48823.27)*100, 0)</f>
        <v>0</v>
      </c>
    </row>
    <row r="53" spans="1:3" x14ac:dyDescent="0.25">
      <c r="A53" s="4" t="s">
        <v>47</v>
      </c>
      <c r="B53" s="6">
        <v>11.58</v>
      </c>
      <c r="C53" s="6">
        <f>IF(48823.27&lt;&gt;0, (B53/48823.27)*100, 0)</f>
        <v>2.3718198309945239E-2</v>
      </c>
    </row>
    <row r="54" spans="1:3" x14ac:dyDescent="0.25">
      <c r="A54" s="4" t="s">
        <v>48</v>
      </c>
      <c r="B54" s="6">
        <v>246</v>
      </c>
      <c r="C54" s="6">
        <f>IF(48823.27&lt;&gt;0, (B54/48823.27)*100, 0)</f>
        <v>0.50385809881230814</v>
      </c>
    </row>
    <row r="55" spans="1:3" x14ac:dyDescent="0.25">
      <c r="A55" s="4" t="s">
        <v>49</v>
      </c>
      <c r="B55" s="6">
        <v>17.420000000000002</v>
      </c>
      <c r="C55" s="6">
        <f>IF(48823.27&lt;&gt;0, (B55/48823.27)*100, 0)</f>
        <v>3.5679707647603295E-2</v>
      </c>
    </row>
    <row r="56" spans="1:3" x14ac:dyDescent="0.25">
      <c r="A56" s="4" t="s">
        <v>50</v>
      </c>
      <c r="B56" s="6">
        <v>23.52</v>
      </c>
      <c r="C56" s="6">
        <f>IF(48823.27&lt;&gt;0, (B56/48823.27)*100, 0)</f>
        <v>4.8173749935225559E-2</v>
      </c>
    </row>
    <row r="57" spans="1:3" x14ac:dyDescent="0.25">
      <c r="A57" s="4" t="s">
        <v>51</v>
      </c>
      <c r="B57" s="6">
        <v>0</v>
      </c>
      <c r="C57" s="6">
        <f>IF(48823.27&lt;&gt;0, (B57/48823.27)*100, 0)</f>
        <v>0</v>
      </c>
    </row>
    <row r="58" spans="1:3" x14ac:dyDescent="0.25">
      <c r="A58" s="4" t="s">
        <v>52</v>
      </c>
      <c r="B58" s="6">
        <v>153.43</v>
      </c>
      <c r="C58" s="6">
        <f>IF(48823.27&lt;&gt;0, (B58/48823.27)*100, 0)</f>
        <v>0.31425588658850589</v>
      </c>
    </row>
    <row r="59" spans="1:3" x14ac:dyDescent="0.25">
      <c r="A59" s="4" t="s">
        <v>53</v>
      </c>
      <c r="B59" s="6">
        <v>25</v>
      </c>
      <c r="C59" s="6">
        <f>IF(48823.27&lt;&gt;0, (B59/48823.27)*100, 0)</f>
        <v>5.120509134271424E-2</v>
      </c>
    </row>
    <row r="60" spans="1:3" x14ac:dyDescent="0.25">
      <c r="A60" s="4" t="s">
        <v>54</v>
      </c>
      <c r="B60" s="6">
        <v>175.88</v>
      </c>
      <c r="C60" s="6">
        <f>IF(48823.27&lt;&gt;0, (B60/48823.27)*100, 0)</f>
        <v>0.36023805861426322</v>
      </c>
    </row>
    <row r="61" spans="1:3" x14ac:dyDescent="0.25">
      <c r="A61" s="4" t="s">
        <v>55</v>
      </c>
      <c r="B61" s="6">
        <v>5</v>
      </c>
      <c r="C61" s="6">
        <f>IF(48823.27&lt;&gt;0, (B61/48823.27)*100, 0)</f>
        <v>1.0241018268542849E-2</v>
      </c>
    </row>
    <row r="62" spans="1:3" x14ac:dyDescent="0.25">
      <c r="A62" s="4" t="s">
        <v>56</v>
      </c>
      <c r="B62" s="6">
        <v>0</v>
      </c>
      <c r="C62" s="6">
        <f>IF(48823.27&lt;&gt;0, (B62/48823.27)*100, 0)</f>
        <v>0</v>
      </c>
    </row>
    <row r="63" spans="1:3" x14ac:dyDescent="0.25">
      <c r="A63" s="4" t="s">
        <v>57</v>
      </c>
      <c r="B63" s="6">
        <v>0</v>
      </c>
      <c r="C63" s="6">
        <f>IF(48823.27&lt;&gt;0, (B63/48823.27)*100, 0)</f>
        <v>0</v>
      </c>
    </row>
    <row r="64" spans="1:3" x14ac:dyDescent="0.25">
      <c r="A64" s="4" t="s">
        <v>58</v>
      </c>
      <c r="B64" s="6">
        <v>250</v>
      </c>
      <c r="C64" s="6">
        <f>IF(48823.27&lt;&gt;0, (B64/48823.27)*100, 0)</f>
        <v>0.51205091342714248</v>
      </c>
    </row>
    <row r="65" spans="1:3" x14ac:dyDescent="0.25">
      <c r="A65" s="4" t="s">
        <v>59</v>
      </c>
      <c r="B65" s="6">
        <v>0</v>
      </c>
      <c r="C65" s="6">
        <f>IF(48823.27&lt;&gt;0, (B65/48823.27)*100, 0)</f>
        <v>0</v>
      </c>
    </row>
    <row r="66" spans="1:3" x14ac:dyDescent="0.25">
      <c r="A66" s="4" t="s">
        <v>60</v>
      </c>
      <c r="B66" s="6">
        <v>19.989999999999998</v>
      </c>
      <c r="C66" s="6">
        <f>IF(48823.27&lt;&gt;0, (B66/48823.27)*100, 0)</f>
        <v>4.0943591037634307E-2</v>
      </c>
    </row>
    <row r="67" spans="1:3" x14ac:dyDescent="0.25">
      <c r="A67" s="4" t="s">
        <v>61</v>
      </c>
      <c r="B67" s="6">
        <v>208.6</v>
      </c>
      <c r="C67" s="6">
        <f>IF(48823.27&lt;&gt;0, (B67/48823.27)*100, 0)</f>
        <v>0.42725528216360764</v>
      </c>
    </row>
    <row r="68" spans="1:3" x14ac:dyDescent="0.25">
      <c r="A68" s="4" t="s">
        <v>62</v>
      </c>
      <c r="B68" s="6">
        <v>0</v>
      </c>
      <c r="C68" s="6">
        <f>IF(48823.27&lt;&gt;0, (B68/48823.27)*100, 0)</f>
        <v>0</v>
      </c>
    </row>
    <row r="69" spans="1:3" x14ac:dyDescent="0.25">
      <c r="A69" s="4" t="s">
        <v>63</v>
      </c>
      <c r="B69" s="6">
        <v>0</v>
      </c>
      <c r="C69" s="6">
        <f>IF(48823.27&lt;&gt;0, (B69/48823.27)*100, 0)</f>
        <v>0</v>
      </c>
    </row>
    <row r="70" spans="1:3" x14ac:dyDescent="0.25">
      <c r="A70" s="4" t="s">
        <v>64</v>
      </c>
      <c r="B70" s="6">
        <v>0</v>
      </c>
      <c r="C70" s="6">
        <f>IF(48823.27&lt;&gt;0, (B70/48823.27)*100, 0)</f>
        <v>0</v>
      </c>
    </row>
    <row r="71" spans="1:3" x14ac:dyDescent="0.25">
      <c r="A71" s="4" t="s">
        <v>65</v>
      </c>
      <c r="B71" s="6">
        <v>398</v>
      </c>
      <c r="C71" s="6">
        <f>IF(48823.27&lt;&gt;0, (B71/48823.27)*100, 0)</f>
        <v>0.81518505417601073</v>
      </c>
    </row>
    <row r="72" spans="1:3" x14ac:dyDescent="0.25">
      <c r="A72" s="4" t="s">
        <v>66</v>
      </c>
      <c r="B72" s="6">
        <v>0</v>
      </c>
      <c r="C72" s="6">
        <f>IF(48823.27&lt;&gt;0, (B72/48823.27)*100, 0)</f>
        <v>0</v>
      </c>
    </row>
    <row r="73" spans="1:3" x14ac:dyDescent="0.25">
      <c r="A73" s="4" t="s">
        <v>67</v>
      </c>
      <c r="B73" s="6">
        <v>102</v>
      </c>
      <c r="C73" s="6">
        <f>IF(48823.27&lt;&gt;0, (B73/48823.27)*100, 0)</f>
        <v>0.2089167726782741</v>
      </c>
    </row>
    <row r="74" spans="1:3" x14ac:dyDescent="0.25">
      <c r="A74" s="4" t="s">
        <v>68</v>
      </c>
      <c r="B74" s="6">
        <v>0</v>
      </c>
      <c r="C74" s="6">
        <f>IF(48823.27&lt;&gt;0, (B74/48823.27)*100, 0)</f>
        <v>0</v>
      </c>
    </row>
    <row r="75" spans="1:3" x14ac:dyDescent="0.25">
      <c r="A75" s="4" t="s">
        <v>69</v>
      </c>
      <c r="B75" s="6">
        <v>1012.3</v>
      </c>
      <c r="C75" s="6">
        <f>IF(48823.27&lt;&gt;0, (B75/48823.27)*100, 0)</f>
        <v>2.0733965586491854</v>
      </c>
    </row>
    <row r="76" spans="1:3" customFormat="1" ht="14.4" x14ac:dyDescent="0.3">
      <c r="A76" s="7"/>
      <c r="B76" s="9"/>
      <c r="C76" s="8"/>
    </row>
    <row r="77" spans="1:3" x14ac:dyDescent="0.25">
      <c r="A77" s="4" t="s">
        <v>70</v>
      </c>
      <c r="B77" s="6">
        <f>ROUND(SUBTOTAL(9, B26:B76), 5)</f>
        <v>15106.02</v>
      </c>
      <c r="C77" s="6">
        <f>ROUND(SUBTOTAL(9, C26:C76), 5)</f>
        <v>30.94021</v>
      </c>
    </row>
    <row r="78" spans="1:3" customFormat="1" ht="14.4" x14ac:dyDescent="0.3">
      <c r="A78" s="7"/>
      <c r="B78" s="9"/>
      <c r="C78" s="8"/>
    </row>
    <row r="79" spans="1:3" ht="13.8" thickBot="1" x14ac:dyDescent="0.3">
      <c r="A79" s="4" t="s">
        <v>71</v>
      </c>
      <c r="B79" s="5">
        <f>-(ROUND(-B24+B77, 5))</f>
        <v>8349.68</v>
      </c>
      <c r="C79" s="6">
        <f>-(ROUND(-C24+C77, 5))</f>
        <v>17.101839999999999</v>
      </c>
    </row>
    <row r="80" spans="1:3" customFormat="1" ht="15.6" thickTop="1" thickBot="1" x14ac:dyDescent="0.35">
      <c r="A80" s="10"/>
      <c r="B80" s="11"/>
      <c r="C80" s="12"/>
    </row>
  </sheetData>
  <pageMargins left="0.7" right="0.7" top="1.375" bottom="0.65277777777777801" header="0.3" footer="0.3"/>
  <pageSetup paperSize="5" orientation="portrait" horizontalDpi="300" verticalDpi="300" r:id="rId1"/>
  <headerFooter>
    <oddHeader xml:space="preserve">&amp;L&amp;"Times New Roman,Regular"&amp;8
&amp;10
&amp;C&amp;"Times New Roman,Regular"&amp;8 
&amp;10 GRUPO PILAT, S.A.
 Income Statement
 For the Four Months Ending 
 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Stmnt</vt:lpstr>
      <vt:lpstr>'Income Stmnt'!Print_Titles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 Grandison</dc:creator>
  <cp:lastModifiedBy>Lidia Grandison</cp:lastModifiedBy>
  <cp:lastPrinted>2025-10-22T19:41:27Z</cp:lastPrinted>
  <dcterms:created xsi:type="dcterms:W3CDTF">2025-10-22T19:00:10Z</dcterms:created>
  <dcterms:modified xsi:type="dcterms:W3CDTF">2025-10-22T19:41:41Z</dcterms:modified>
</cp:coreProperties>
</file>