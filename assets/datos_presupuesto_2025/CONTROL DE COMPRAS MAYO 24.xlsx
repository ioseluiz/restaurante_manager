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TALOS ADMINISTRACION\PRESUPUESTO NOVIEMBRE 2025 001\"/>
    </mc:Choice>
  </mc:AlternateContent>
  <xr:revisionPtr revIDLastSave="0" documentId="13_ncr:1_{487C6882-BF68-474C-9982-E81A9C794A8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umos" sheetId="19" r:id="rId1"/>
    <sheet name="lista para compra" sheetId="21" r:id="rId2"/>
    <sheet name="control de compras" sheetId="2" r:id="rId3"/>
    <sheet name="sem 1" sheetId="16" r:id="rId4"/>
    <sheet name="sem2" sheetId="23" r:id="rId5"/>
    <sheet name="sem3" sheetId="26" r:id="rId6"/>
    <sheet name="sem4" sheetId="27" r:id="rId7"/>
    <sheet name="Hoja1" sheetId="2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'sem 1'!$A$6:$A$152</definedName>
    <definedName name="_xlnm._FilterDatabase" localSheetId="4" hidden="1">'sem2'!$A$6:$A$145</definedName>
    <definedName name="_xlnm._FilterDatabase" localSheetId="5" hidden="1">'sem3'!$A$6:$A$145</definedName>
    <definedName name="_xlnm._FilterDatabase" localSheetId="6" hidden="1">'sem4'!$A$6:$A$145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6" l="1"/>
  <c r="B3" i="28"/>
  <c r="G46" i="16" l="1"/>
  <c r="B88" i="16"/>
  <c r="Q86" i="23"/>
  <c r="Q87" i="23"/>
  <c r="Q89" i="16"/>
  <c r="Q88" i="16"/>
  <c r="C10" i="2" l="1"/>
  <c r="D10" i="2"/>
  <c r="G38" i="2"/>
  <c r="G40" i="2"/>
  <c r="G30" i="2"/>
  <c r="Q144" i="27"/>
  <c r="H60" i="2" s="1"/>
  <c r="Q127" i="27"/>
  <c r="H58" i="2" s="1"/>
  <c r="Q126" i="27"/>
  <c r="H57" i="2" s="1"/>
  <c r="Q125" i="27"/>
  <c r="H56" i="2" s="1"/>
  <c r="Q124" i="27"/>
  <c r="H55" i="2" s="1"/>
  <c r="Q123" i="27"/>
  <c r="H54" i="2" s="1"/>
  <c r="Q95" i="27"/>
  <c r="H51" i="2" s="1"/>
  <c r="Q86" i="27"/>
  <c r="H48" i="2" s="1"/>
  <c r="Q48" i="27"/>
  <c r="H45" i="2" s="1"/>
  <c r="Q47" i="27"/>
  <c r="H44" i="2" s="1"/>
  <c r="Q46" i="27"/>
  <c r="H43" i="2" s="1"/>
  <c r="Q45" i="27"/>
  <c r="H42" i="2" s="1"/>
  <c r="Q44" i="27"/>
  <c r="H41" i="2" s="1"/>
  <c r="Q43" i="27"/>
  <c r="H40" i="2" s="1"/>
  <c r="Q42" i="27"/>
  <c r="H39" i="2" s="1"/>
  <c r="Q41" i="27"/>
  <c r="H38" i="2" s="1"/>
  <c r="Q40" i="27"/>
  <c r="H37" i="2" s="1"/>
  <c r="Q39" i="27"/>
  <c r="H36" i="2" s="1"/>
  <c r="Q38" i="27"/>
  <c r="H35" i="2" s="1"/>
  <c r="Q35" i="27"/>
  <c r="H32" i="2" s="1"/>
  <c r="Q34" i="27"/>
  <c r="H31" i="2" s="1"/>
  <c r="Q33" i="27"/>
  <c r="H30" i="2" s="1"/>
  <c r="Q30" i="27"/>
  <c r="Q29" i="27"/>
  <c r="H26" i="2" s="1"/>
  <c r="Q28" i="27"/>
  <c r="H25" i="2" s="1"/>
  <c r="Q27" i="27"/>
  <c r="H24" i="2" s="1"/>
  <c r="Q22" i="27"/>
  <c r="H21" i="2" s="1"/>
  <c r="Q21" i="27"/>
  <c r="H20" i="2" s="1"/>
  <c r="Q20" i="27"/>
  <c r="H19" i="2" s="1"/>
  <c r="Q19" i="27"/>
  <c r="H18" i="2" s="1"/>
  <c r="Q18" i="27"/>
  <c r="H17" i="2" s="1"/>
  <c r="Q17" i="27"/>
  <c r="H16" i="2" s="1"/>
  <c r="Q16" i="27"/>
  <c r="H15" i="2" s="1"/>
  <c r="Q15" i="27"/>
  <c r="H14" i="2" s="1"/>
  <c r="Q14" i="27"/>
  <c r="H13" i="2" s="1"/>
  <c r="Q13" i="27"/>
  <c r="H12" i="2" s="1"/>
  <c r="Q12" i="27"/>
  <c r="H11" i="2" s="1"/>
  <c r="Q11" i="27"/>
  <c r="H10" i="2" s="1"/>
  <c r="Q10" i="27"/>
  <c r="H9" i="2" s="1"/>
  <c r="Q9" i="27"/>
  <c r="H8" i="2" s="1"/>
  <c r="Q8" i="27"/>
  <c r="H7" i="2" s="1"/>
  <c r="Q7" i="27"/>
  <c r="H6" i="2" s="1"/>
  <c r="Q144" i="26"/>
  <c r="G60" i="2" s="1"/>
  <c r="Q127" i="26"/>
  <c r="G58" i="2" s="1"/>
  <c r="Q126" i="26"/>
  <c r="G57" i="2" s="1"/>
  <c r="Q125" i="26"/>
  <c r="G56" i="2" s="1"/>
  <c r="Q124" i="26"/>
  <c r="G55" i="2" s="1"/>
  <c r="Q123" i="26"/>
  <c r="G54" i="2" s="1"/>
  <c r="Q95" i="26"/>
  <c r="G51" i="2" s="1"/>
  <c r="Q86" i="26"/>
  <c r="G48" i="2" s="1"/>
  <c r="Q48" i="26"/>
  <c r="G45" i="2" s="1"/>
  <c r="Q47" i="26"/>
  <c r="G44" i="2" s="1"/>
  <c r="Q46" i="26"/>
  <c r="G43" i="2" s="1"/>
  <c r="Q45" i="26"/>
  <c r="G42" i="2" s="1"/>
  <c r="Q44" i="26"/>
  <c r="G41" i="2" s="1"/>
  <c r="Q43" i="26"/>
  <c r="Q42" i="26"/>
  <c r="G39" i="2" s="1"/>
  <c r="Q41" i="26"/>
  <c r="Q40" i="26"/>
  <c r="G37" i="2" s="1"/>
  <c r="Q39" i="26"/>
  <c r="G36" i="2" s="1"/>
  <c r="Q38" i="26"/>
  <c r="G35" i="2" s="1"/>
  <c r="Q35" i="26"/>
  <c r="G32" i="2" s="1"/>
  <c r="Q34" i="26"/>
  <c r="G31" i="2" s="1"/>
  <c r="Q33" i="26"/>
  <c r="Q30" i="26"/>
  <c r="Q29" i="26"/>
  <c r="G26" i="2" s="1"/>
  <c r="Q28" i="26"/>
  <c r="G25" i="2" s="1"/>
  <c r="Q27" i="26"/>
  <c r="G24" i="2" s="1"/>
  <c r="Q22" i="26"/>
  <c r="G21" i="2" s="1"/>
  <c r="Q21" i="26"/>
  <c r="G20" i="2" s="1"/>
  <c r="Q20" i="26"/>
  <c r="G19" i="2" s="1"/>
  <c r="Q19" i="26"/>
  <c r="G18" i="2" s="1"/>
  <c r="Q18" i="26"/>
  <c r="G17" i="2" s="1"/>
  <c r="Q17" i="26"/>
  <c r="G16" i="2" s="1"/>
  <c r="Q16" i="26"/>
  <c r="G15" i="2" s="1"/>
  <c r="Q15" i="26"/>
  <c r="G14" i="2" s="1"/>
  <c r="Q14" i="26"/>
  <c r="G13" i="2" s="1"/>
  <c r="Q13" i="26"/>
  <c r="G12" i="2" s="1"/>
  <c r="Q12" i="26"/>
  <c r="G11" i="2" s="1"/>
  <c r="Q11" i="26"/>
  <c r="G10" i="2" s="1"/>
  <c r="Q10" i="26"/>
  <c r="G9" i="2" s="1"/>
  <c r="Q9" i="26"/>
  <c r="G8" i="2" s="1"/>
  <c r="Q8" i="26"/>
  <c r="G7" i="2" s="1"/>
  <c r="Q7" i="26"/>
  <c r="G6" i="2" s="1"/>
  <c r="F48" i="2"/>
  <c r="I27" i="2"/>
  <c r="I28" i="2"/>
  <c r="I29" i="2"/>
  <c r="I33" i="2"/>
  <c r="I34" i="2"/>
  <c r="I46" i="2"/>
  <c r="I47" i="2"/>
  <c r="I50" i="2"/>
  <c r="I52" i="2"/>
  <c r="I53" i="2"/>
  <c r="I59" i="2"/>
  <c r="I22" i="2"/>
  <c r="I23" i="2"/>
  <c r="Q144" i="23"/>
  <c r="F60" i="2" s="1"/>
  <c r="Q127" i="23"/>
  <c r="F58" i="2" s="1"/>
  <c r="Q126" i="23"/>
  <c r="F57" i="2" s="1"/>
  <c r="Q125" i="23"/>
  <c r="F56" i="2" s="1"/>
  <c r="Q124" i="23"/>
  <c r="F55" i="2" s="1"/>
  <c r="Q123" i="23"/>
  <c r="F54" i="2" s="1"/>
  <c r="Q95" i="23"/>
  <c r="F51" i="2" s="1"/>
  <c r="Q48" i="23"/>
  <c r="F45" i="2" s="1"/>
  <c r="Q47" i="23"/>
  <c r="F44" i="2" s="1"/>
  <c r="Q46" i="23"/>
  <c r="F43" i="2" s="1"/>
  <c r="Q45" i="23"/>
  <c r="F42" i="2" s="1"/>
  <c r="Q44" i="23"/>
  <c r="F41" i="2" s="1"/>
  <c r="Q43" i="23"/>
  <c r="F40" i="2" s="1"/>
  <c r="Q42" i="23"/>
  <c r="F39" i="2" s="1"/>
  <c r="Q41" i="23"/>
  <c r="F38" i="2" s="1"/>
  <c r="Q40" i="23"/>
  <c r="F37" i="2" s="1"/>
  <c r="Q39" i="23"/>
  <c r="F36" i="2" s="1"/>
  <c r="Q38" i="23"/>
  <c r="F35" i="2" s="1"/>
  <c r="Q35" i="23"/>
  <c r="F32" i="2" s="1"/>
  <c r="Q34" i="23"/>
  <c r="F31" i="2" s="1"/>
  <c r="Q33" i="23"/>
  <c r="F30" i="2" s="1"/>
  <c r="Q30" i="23"/>
  <c r="Q29" i="23"/>
  <c r="F26" i="2" s="1"/>
  <c r="Q28" i="23"/>
  <c r="F25" i="2" s="1"/>
  <c r="Q27" i="23"/>
  <c r="F24" i="2" s="1"/>
  <c r="Q22" i="23"/>
  <c r="F21" i="2" s="1"/>
  <c r="Q21" i="23"/>
  <c r="F20" i="2" s="1"/>
  <c r="Q20" i="23"/>
  <c r="F19" i="2" s="1"/>
  <c r="Q19" i="23"/>
  <c r="F18" i="2" s="1"/>
  <c r="Q18" i="23"/>
  <c r="F17" i="2" s="1"/>
  <c r="Q17" i="23"/>
  <c r="F16" i="2" s="1"/>
  <c r="Q16" i="23"/>
  <c r="F15" i="2" s="1"/>
  <c r="Q15" i="23"/>
  <c r="F14" i="2" s="1"/>
  <c r="Q14" i="23"/>
  <c r="F13" i="2" s="1"/>
  <c r="Q13" i="23"/>
  <c r="F12" i="2" s="1"/>
  <c r="Q12" i="23"/>
  <c r="F11" i="2" s="1"/>
  <c r="Q11" i="23"/>
  <c r="F10" i="2" s="1"/>
  <c r="Q10" i="23"/>
  <c r="F9" i="2" s="1"/>
  <c r="Q9" i="23"/>
  <c r="F8" i="2" s="1"/>
  <c r="Q8" i="23"/>
  <c r="F7" i="2" s="1"/>
  <c r="Q7" i="23"/>
  <c r="F6" i="2" s="1"/>
  <c r="Q133" i="16"/>
  <c r="E58" i="2" s="1"/>
  <c r="Q30" i="16" l="1"/>
  <c r="Q22" i="16"/>
  <c r="C21" i="19"/>
  <c r="C63" i="19"/>
  <c r="E62" i="19"/>
  <c r="E61" i="19"/>
  <c r="E60" i="19"/>
  <c r="E59" i="19"/>
  <c r="E58" i="19"/>
  <c r="E21" i="2" l="1"/>
  <c r="I21" i="2" s="1"/>
  <c r="D63" i="19"/>
  <c r="E72" i="21" s="1"/>
  <c r="D58" i="2" s="1"/>
  <c r="D72" i="21"/>
  <c r="C58" i="2" s="1"/>
  <c r="D61" i="21"/>
  <c r="E61" i="21" s="1"/>
  <c r="D49" i="2" s="1"/>
  <c r="D60" i="21"/>
  <c r="D50" i="19"/>
  <c r="D51" i="19"/>
  <c r="E49" i="19"/>
  <c r="F59" i="21" s="1"/>
  <c r="C49" i="19"/>
  <c r="D59" i="21" s="1"/>
  <c r="Q48" i="16"/>
  <c r="C45" i="19"/>
  <c r="D45" i="19" s="1"/>
  <c r="E44" i="19"/>
  <c r="F44" i="21" s="1"/>
  <c r="C44" i="19"/>
  <c r="C43" i="19"/>
  <c r="E43" i="19"/>
  <c r="F43" i="21" s="1"/>
  <c r="E42" i="19"/>
  <c r="F42" i="21" s="1"/>
  <c r="C42" i="19"/>
  <c r="E41" i="19"/>
  <c r="F41" i="21" s="1"/>
  <c r="C41" i="19"/>
  <c r="E40" i="19"/>
  <c r="C40" i="19"/>
  <c r="E39" i="19"/>
  <c r="E37" i="19"/>
  <c r="C37" i="19"/>
  <c r="E36" i="19"/>
  <c r="E35" i="19"/>
  <c r="E31" i="19"/>
  <c r="C31" i="19"/>
  <c r="C32" i="2" s="1"/>
  <c r="E29" i="19"/>
  <c r="C29" i="19"/>
  <c r="E25" i="19"/>
  <c r="E26" i="19"/>
  <c r="E24" i="19"/>
  <c r="C24" i="19"/>
  <c r="D21" i="19"/>
  <c r="E45" i="2" l="1"/>
  <c r="I45" i="2" s="1"/>
  <c r="E60" i="21"/>
  <c r="C49" i="2"/>
  <c r="C45" i="2"/>
  <c r="D45" i="2" s="1"/>
  <c r="D21" i="21"/>
  <c r="E21" i="21" s="1"/>
  <c r="F21" i="21"/>
  <c r="I21" i="21" s="1"/>
  <c r="C21" i="2"/>
  <c r="D21" i="2" s="1"/>
  <c r="J45" i="2" l="1"/>
  <c r="J21" i="2"/>
  <c r="C65" i="19" l="1"/>
  <c r="D74" i="21" s="1"/>
  <c r="C54" i="19"/>
  <c r="D64" i="21" s="1"/>
  <c r="E20" i="19" l="1"/>
  <c r="C20" i="19"/>
  <c r="E19" i="19"/>
  <c r="C19" i="19"/>
  <c r="E18" i="19"/>
  <c r="C18" i="19"/>
  <c r="E16" i="19" l="1"/>
  <c r="C16" i="19"/>
  <c r="E15" i="19"/>
  <c r="C15" i="19"/>
  <c r="E14" i="19"/>
  <c r="C14" i="19"/>
  <c r="E13" i="19"/>
  <c r="C13" i="19"/>
  <c r="E11" i="19"/>
  <c r="C11" i="19"/>
  <c r="E9" i="19" l="1"/>
  <c r="C9" i="19"/>
  <c r="E8" i="19"/>
  <c r="C8" i="19"/>
  <c r="E7" i="19"/>
  <c r="C7" i="19"/>
  <c r="E6" i="19"/>
  <c r="C6" i="19"/>
  <c r="F17" i="21" l="1"/>
  <c r="F71" i="21"/>
  <c r="F70" i="21"/>
  <c r="F35" i="21" l="1"/>
  <c r="F68" i="21"/>
  <c r="F40" i="21"/>
  <c r="F37" i="21"/>
  <c r="F36" i="21"/>
  <c r="F31" i="21"/>
  <c r="F29" i="21"/>
  <c r="F26" i="21"/>
  <c r="F25" i="21"/>
  <c r="F24" i="21"/>
  <c r="F20" i="21" l="1"/>
  <c r="F19" i="21"/>
  <c r="F18" i="21"/>
  <c r="F16" i="21"/>
  <c r="F15" i="21"/>
  <c r="F14" i="21"/>
  <c r="F13" i="21"/>
  <c r="F11" i="21"/>
  <c r="F10" i="21"/>
  <c r="F9" i="21"/>
  <c r="F8" i="21"/>
  <c r="F7" i="21"/>
  <c r="I7" i="21" s="1"/>
  <c r="F6" i="21"/>
  <c r="C38" i="19" l="1"/>
  <c r="C17" i="19"/>
  <c r="D17" i="21" s="1"/>
  <c r="C17" i="2" l="1"/>
  <c r="C51" i="2"/>
  <c r="C60" i="2"/>
  <c r="C38" i="2"/>
  <c r="Q151" i="16"/>
  <c r="E60" i="2" s="1"/>
  <c r="Q132" i="16"/>
  <c r="E57" i="2" s="1"/>
  <c r="Q131" i="16"/>
  <c r="E56" i="2" s="1"/>
  <c r="Q130" i="16"/>
  <c r="E55" i="2" s="1"/>
  <c r="Q129" i="16"/>
  <c r="E54" i="2" s="1"/>
  <c r="E74" i="21"/>
  <c r="I71" i="21"/>
  <c r="C71" i="21"/>
  <c r="C70" i="21"/>
  <c r="C69" i="21"/>
  <c r="I68" i="21"/>
  <c r="C68" i="21"/>
  <c r="I59" i="21"/>
  <c r="C59" i="21"/>
  <c r="C58" i="21" s="1"/>
  <c r="C44" i="21"/>
  <c r="C43" i="21"/>
  <c r="C42" i="21"/>
  <c r="C41" i="21"/>
  <c r="C40" i="21"/>
  <c r="C39" i="21"/>
  <c r="C38" i="21"/>
  <c r="C37" i="21"/>
  <c r="C36" i="21"/>
  <c r="C35" i="21"/>
  <c r="I31" i="21"/>
  <c r="C31" i="21"/>
  <c r="C30" i="21"/>
  <c r="I29" i="21"/>
  <c r="C29" i="21"/>
  <c r="I26" i="21"/>
  <c r="C26" i="21"/>
  <c r="I25" i="21"/>
  <c r="C25" i="21"/>
  <c r="I24" i="21"/>
  <c r="C24" i="21"/>
  <c r="I20" i="21"/>
  <c r="C20" i="21"/>
  <c r="I19" i="21"/>
  <c r="C19" i="21"/>
  <c r="I18" i="21"/>
  <c r="C18" i="21"/>
  <c r="I17" i="21"/>
  <c r="C17" i="21"/>
  <c r="I16" i="21"/>
  <c r="C16" i="21"/>
  <c r="I15" i="21"/>
  <c r="C15" i="21"/>
  <c r="I14" i="21"/>
  <c r="C14" i="21"/>
  <c r="I13" i="21"/>
  <c r="C13" i="21"/>
  <c r="C12" i="21"/>
  <c r="I11" i="21"/>
  <c r="C11" i="21"/>
  <c r="I10" i="21"/>
  <c r="C10" i="21"/>
  <c r="I9" i="21"/>
  <c r="C9" i="21"/>
  <c r="I8" i="21"/>
  <c r="C8" i="21"/>
  <c r="C7" i="21"/>
  <c r="I6" i="21"/>
  <c r="C6" i="21"/>
  <c r="C28" i="21" l="1"/>
  <c r="C23" i="21"/>
  <c r="C34" i="21"/>
  <c r="C5" i="21"/>
  <c r="C67" i="21"/>
  <c r="C76" i="21" l="1"/>
  <c r="D54" i="19"/>
  <c r="D38" i="19"/>
  <c r="D65" i="19" l="1"/>
  <c r="I60" i="2" l="1"/>
  <c r="I57" i="2"/>
  <c r="I56" i="2"/>
  <c r="I55" i="2"/>
  <c r="I54" i="2"/>
  <c r="Q97" i="16"/>
  <c r="Q47" i="16"/>
  <c r="Q46" i="16"/>
  <c r="Q45" i="16"/>
  <c r="Q44" i="16"/>
  <c r="Q43" i="16"/>
  <c r="Q42" i="16"/>
  <c r="Q41" i="16"/>
  <c r="Q40" i="16"/>
  <c r="Q39" i="16"/>
  <c r="Q38" i="16"/>
  <c r="Q35" i="16"/>
  <c r="Q34" i="16"/>
  <c r="Q33" i="16"/>
  <c r="Q29" i="16"/>
  <c r="Q28" i="16"/>
  <c r="Q27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E12" i="2" l="1"/>
  <c r="I12" i="2" s="1"/>
  <c r="E20" i="2"/>
  <c r="I20" i="2" s="1"/>
  <c r="E40" i="2"/>
  <c r="I40" i="2" s="1"/>
  <c r="E13" i="2"/>
  <c r="I13" i="2" s="1"/>
  <c r="E24" i="2"/>
  <c r="I24" i="2" s="1"/>
  <c r="E37" i="2"/>
  <c r="I37" i="2" s="1"/>
  <c r="E48" i="2"/>
  <c r="I48" i="2" s="1"/>
  <c r="E6" i="2"/>
  <c r="E14" i="2"/>
  <c r="I14" i="2" s="1"/>
  <c r="E18" i="2"/>
  <c r="I18" i="2" s="1"/>
  <c r="E32" i="2"/>
  <c r="I32" i="2" s="1"/>
  <c r="E38" i="2"/>
  <c r="I38" i="2" s="1"/>
  <c r="E42" i="2"/>
  <c r="I42" i="2" s="1"/>
  <c r="E51" i="2"/>
  <c r="I51" i="2" s="1"/>
  <c r="E8" i="2"/>
  <c r="I8" i="2" s="1"/>
  <c r="E16" i="2"/>
  <c r="I16" i="2" s="1"/>
  <c r="E30" i="2"/>
  <c r="I30" i="2" s="1"/>
  <c r="E36" i="2"/>
  <c r="I36" i="2" s="1"/>
  <c r="E44" i="2"/>
  <c r="I44" i="2" s="1"/>
  <c r="E9" i="2"/>
  <c r="I9" i="2" s="1"/>
  <c r="E17" i="2"/>
  <c r="I17" i="2" s="1"/>
  <c r="E31" i="2"/>
  <c r="I31" i="2" s="1"/>
  <c r="E41" i="2"/>
  <c r="I41" i="2" s="1"/>
  <c r="E10" i="2"/>
  <c r="I10" i="2" s="1"/>
  <c r="J10" i="2" s="1"/>
  <c r="E25" i="2"/>
  <c r="I25" i="2" s="1"/>
  <c r="E7" i="2"/>
  <c r="I7" i="2" s="1"/>
  <c r="E11" i="2"/>
  <c r="I11" i="2" s="1"/>
  <c r="E15" i="2"/>
  <c r="I15" i="2" s="1"/>
  <c r="E19" i="2"/>
  <c r="I19" i="2" s="1"/>
  <c r="E26" i="2"/>
  <c r="I26" i="2" s="1"/>
  <c r="E35" i="2"/>
  <c r="I35" i="2" s="1"/>
  <c r="E39" i="2"/>
  <c r="I39" i="2" s="1"/>
  <c r="E43" i="2"/>
  <c r="I43" i="2" s="1"/>
  <c r="D60" i="2"/>
  <c r="I6" i="2" l="1"/>
  <c r="J60" i="2"/>
  <c r="J38" i="2" l="1"/>
  <c r="J51" i="2"/>
  <c r="D51" i="2"/>
  <c r="D38" i="2"/>
  <c r="D17" i="2"/>
  <c r="J17" i="2" l="1"/>
  <c r="E17" i="21" l="1"/>
  <c r="D17" i="19"/>
  <c r="D29" i="19" l="1"/>
  <c r="C30" i="2"/>
  <c r="D30" i="2" l="1"/>
  <c r="J30" i="2"/>
  <c r="D6" i="19"/>
  <c r="D6" i="21"/>
  <c r="E6" i="21" s="1"/>
  <c r="C6" i="2"/>
  <c r="E64" i="21"/>
  <c r="D38" i="21"/>
  <c r="E38" i="21" s="1"/>
  <c r="C36" i="19"/>
  <c r="C35" i="19"/>
  <c r="D29" i="21"/>
  <c r="E29" i="21" s="1"/>
  <c r="D31" i="21" l="1"/>
  <c r="E31" i="21" s="1"/>
  <c r="D31" i="19"/>
  <c r="C43" i="2"/>
  <c r="D43" i="21"/>
  <c r="E43" i="21" s="1"/>
  <c r="D43" i="19"/>
  <c r="C40" i="2"/>
  <c r="D40" i="19"/>
  <c r="D40" i="21"/>
  <c r="E40" i="21" s="1"/>
  <c r="D44" i="19"/>
  <c r="D44" i="21"/>
  <c r="E44" i="21" s="1"/>
  <c r="C44" i="2"/>
  <c r="D35" i="21"/>
  <c r="E35" i="21" s="1"/>
  <c r="C35" i="2"/>
  <c r="D35" i="19"/>
  <c r="C41" i="2"/>
  <c r="D41" i="19"/>
  <c r="D41" i="21"/>
  <c r="E41" i="21" s="1"/>
  <c r="C48" i="2"/>
  <c r="D49" i="19"/>
  <c r="E59" i="21" s="1"/>
  <c r="C36" i="2"/>
  <c r="D36" i="19"/>
  <c r="D36" i="21"/>
  <c r="E36" i="21" s="1"/>
  <c r="C37" i="2"/>
  <c r="D37" i="19"/>
  <c r="D37" i="21"/>
  <c r="E37" i="21" s="1"/>
  <c r="D42" i="21"/>
  <c r="E42" i="21" s="1"/>
  <c r="D42" i="19"/>
  <c r="C42" i="2"/>
  <c r="D6" i="2"/>
  <c r="J6" i="2"/>
  <c r="J40" i="2" l="1"/>
  <c r="D40" i="2"/>
  <c r="D37" i="2"/>
  <c r="J37" i="2"/>
  <c r="D24" i="21"/>
  <c r="E24" i="21" s="1"/>
  <c r="D24" i="19"/>
  <c r="C24" i="2"/>
  <c r="J36" i="2"/>
  <c r="D36" i="2"/>
  <c r="D48" i="2"/>
  <c r="J48" i="2"/>
  <c r="D41" i="2"/>
  <c r="J41" i="2"/>
  <c r="D35" i="2"/>
  <c r="J35" i="2"/>
  <c r="D44" i="2"/>
  <c r="J44" i="2"/>
  <c r="D43" i="2"/>
  <c r="J43" i="2"/>
  <c r="D42" i="2"/>
  <c r="J42" i="2"/>
  <c r="J32" i="2"/>
  <c r="D32" i="2"/>
  <c r="C19" i="2" l="1"/>
  <c r="D19" i="19"/>
  <c r="D19" i="21"/>
  <c r="E19" i="21" s="1"/>
  <c r="J24" i="2"/>
  <c r="D24" i="2"/>
  <c r="C18" i="2"/>
  <c r="D18" i="21"/>
  <c r="E18" i="21" s="1"/>
  <c r="D18" i="19"/>
  <c r="C20" i="2"/>
  <c r="D20" i="19"/>
  <c r="D20" i="21"/>
  <c r="E20" i="21" s="1"/>
  <c r="C15" i="2" l="1"/>
  <c r="D15" i="21"/>
  <c r="E15" i="21" s="1"/>
  <c r="D15" i="19"/>
  <c r="D14" i="21"/>
  <c r="E14" i="21" s="1"/>
  <c r="D14" i="19"/>
  <c r="C14" i="2"/>
  <c r="C16" i="2"/>
  <c r="D16" i="19"/>
  <c r="D16" i="21"/>
  <c r="E16" i="21" s="1"/>
  <c r="D18" i="2"/>
  <c r="J18" i="2"/>
  <c r="C11" i="2"/>
  <c r="D11" i="19"/>
  <c r="D11" i="21"/>
  <c r="E11" i="21" s="1"/>
  <c r="C13" i="2"/>
  <c r="D13" i="19"/>
  <c r="D13" i="21"/>
  <c r="E13" i="21" s="1"/>
  <c r="J20" i="2"/>
  <c r="D20" i="2"/>
  <c r="J19" i="2"/>
  <c r="D19" i="2"/>
  <c r="J13" i="2" l="1"/>
  <c r="D13" i="2"/>
  <c r="J16" i="2"/>
  <c r="D16" i="2"/>
  <c r="C8" i="2"/>
  <c r="D8" i="21"/>
  <c r="E8" i="21" s="1"/>
  <c r="D8" i="19"/>
  <c r="D11" i="2"/>
  <c r="J11" i="2"/>
  <c r="D10" i="21"/>
  <c r="E10" i="21" s="1"/>
  <c r="D10" i="19"/>
  <c r="J14" i="2"/>
  <c r="D14" i="2"/>
  <c r="C9" i="2"/>
  <c r="D9" i="21"/>
  <c r="E9" i="21" s="1"/>
  <c r="D9" i="19"/>
  <c r="D7" i="19"/>
  <c r="C7" i="2"/>
  <c r="D7" i="21"/>
  <c r="E7" i="21" s="1"/>
  <c r="D15" i="2"/>
  <c r="J15" i="2"/>
  <c r="D9" i="2" l="1"/>
  <c r="J9" i="2"/>
  <c r="D7" i="2"/>
  <c r="J7" i="2"/>
  <c r="D8" i="2"/>
  <c r="J8" i="2"/>
  <c r="C39" i="19" l="1"/>
  <c r="C39" i="2" l="1"/>
  <c r="D39" i="21"/>
  <c r="E39" i="21" s="1"/>
  <c r="D39" i="19"/>
  <c r="D39" i="2" l="1"/>
  <c r="J39" i="2"/>
  <c r="C12" i="19" l="1"/>
  <c r="E12" i="19"/>
  <c r="F12" i="21" s="1"/>
  <c r="C26" i="19"/>
  <c r="C25" i="19"/>
  <c r="D26" i="21" l="1"/>
  <c r="E26" i="21" s="1"/>
  <c r="D26" i="19"/>
  <c r="C26" i="2"/>
  <c r="D25" i="21"/>
  <c r="E25" i="21" s="1"/>
  <c r="C25" i="2"/>
  <c r="D25" i="19"/>
  <c r="C12" i="2"/>
  <c r="D12" i="21"/>
  <c r="E12" i="21" s="1"/>
  <c r="D12" i="19"/>
  <c r="D26" i="2" l="1"/>
  <c r="J26" i="2"/>
  <c r="D25" i="2"/>
  <c r="J25" i="2"/>
  <c r="D12" i="2"/>
  <c r="J12" i="2"/>
  <c r="C30" i="19" l="1"/>
  <c r="E30" i="19"/>
  <c r="F30" i="21" s="1"/>
  <c r="I30" i="21" s="1"/>
  <c r="D30" i="21" l="1"/>
  <c r="E30" i="21" s="1"/>
  <c r="D30" i="19"/>
  <c r="C31" i="2"/>
  <c r="D31" i="2" l="1"/>
  <c r="J31" i="2"/>
  <c r="E49" i="2" l="1"/>
  <c r="E63" i="2" s="1"/>
  <c r="J64" i="2" s="1"/>
  <c r="F49" i="2"/>
  <c r="C23" i="19" l="1"/>
  <c r="C23" i="2" l="1"/>
  <c r="J23" i="2" s="1"/>
  <c r="D23" i="21"/>
  <c r="C62" i="19"/>
  <c r="D62" i="19" s="1"/>
  <c r="C60" i="19"/>
  <c r="C48" i="19"/>
  <c r="C58" i="19"/>
  <c r="D58" i="21" l="1"/>
  <c r="C47" i="2"/>
  <c r="J47" i="2" s="1"/>
  <c r="D70" i="21"/>
  <c r="E70" i="21" s="1"/>
  <c r="D60" i="19"/>
  <c r="C56" i="2"/>
  <c r="D68" i="21"/>
  <c r="E68" i="21" s="1"/>
  <c r="C54" i="2"/>
  <c r="D58" i="19"/>
  <c r="C5" i="19"/>
  <c r="J54" i="2" l="1"/>
  <c r="D54" i="2"/>
  <c r="C5" i="2"/>
  <c r="D5" i="21"/>
  <c r="D56" i="2"/>
  <c r="J56" i="2"/>
  <c r="C34" i="19"/>
  <c r="D34" i="21" l="1"/>
  <c r="C34" i="2"/>
  <c r="J34" i="2" s="1"/>
  <c r="J5" i="2"/>
  <c r="C28" i="19" l="1"/>
  <c r="C29" i="2" l="1"/>
  <c r="D28" i="21"/>
  <c r="J29" i="2" l="1"/>
  <c r="C61" i="19" l="1"/>
  <c r="C59" i="19"/>
  <c r="D69" i="21" l="1"/>
  <c r="E69" i="21" s="1"/>
  <c r="D59" i="19"/>
  <c r="C55" i="2"/>
  <c r="D71" i="21"/>
  <c r="E71" i="21" s="1"/>
  <c r="C57" i="2"/>
  <c r="D61" i="19"/>
  <c r="C57" i="19"/>
  <c r="J55" i="2" l="1"/>
  <c r="D55" i="2"/>
  <c r="D67" i="21"/>
  <c r="D76" i="21" s="1"/>
  <c r="E76" i="21" s="1"/>
  <c r="C53" i="2"/>
  <c r="C67" i="19"/>
  <c r="D67" i="19" s="1"/>
  <c r="D57" i="2"/>
  <c r="J57" i="2"/>
  <c r="J53" i="2" l="1"/>
  <c r="C63" i="2"/>
  <c r="D63" i="2" s="1"/>
  <c r="I49" i="2" l="1"/>
  <c r="G49" i="2"/>
  <c r="Q87" i="26"/>
  <c r="H49" i="2"/>
  <c r="Q87" i="27"/>
</calcChain>
</file>

<file path=xl/sharedStrings.xml><?xml version="1.0" encoding="utf-8"?>
<sst xmlns="http://schemas.openxmlformats.org/spreadsheetml/2006/main" count="879" uniqueCount="193">
  <si>
    <t>5008 - CARNES Y PUERCO</t>
  </si>
  <si>
    <t>chuleta</t>
  </si>
  <si>
    <t>churrasco</t>
  </si>
  <si>
    <t xml:space="preserve">filete de res </t>
  </si>
  <si>
    <t>rincon</t>
  </si>
  <si>
    <t>lomo</t>
  </si>
  <si>
    <t xml:space="preserve">lengua </t>
  </si>
  <si>
    <t xml:space="preserve">costilla horno </t>
  </si>
  <si>
    <t xml:space="preserve">bistec picado </t>
  </si>
  <si>
    <t xml:space="preserve">carne guisada </t>
  </si>
  <si>
    <t>mondongo</t>
  </si>
  <si>
    <t>rabito</t>
  </si>
  <si>
    <t xml:space="preserve">costilla desayuno </t>
  </si>
  <si>
    <t xml:space="preserve">higado </t>
  </si>
  <si>
    <t xml:space="preserve">bofe </t>
  </si>
  <si>
    <t>5009 - MARISCOS</t>
  </si>
  <si>
    <t xml:space="preserve">filete de pescado </t>
  </si>
  <si>
    <t xml:space="preserve">corvina </t>
  </si>
  <si>
    <t>bacalao</t>
  </si>
  <si>
    <t>5010 - POLLO</t>
  </si>
  <si>
    <t>pollo</t>
  </si>
  <si>
    <t xml:space="preserve">filete de pechuga parrilla </t>
  </si>
  <si>
    <t>filete de pechuga criolla</t>
  </si>
  <si>
    <t>5011 - VIVERES (MENESTRAS, KETCHUP, OTROS)</t>
  </si>
  <si>
    <t xml:space="preserve">porotos </t>
  </si>
  <si>
    <t xml:space="preserve">lentejas </t>
  </si>
  <si>
    <t xml:space="preserve">chorizo de parrilla </t>
  </si>
  <si>
    <t>chorizo tableño</t>
  </si>
  <si>
    <t>almojabano</t>
  </si>
  <si>
    <t xml:space="preserve">salchicha para guisar </t>
  </si>
  <si>
    <t>bollo</t>
  </si>
  <si>
    <t>carimañola</t>
  </si>
  <si>
    <t>tortilla</t>
  </si>
  <si>
    <t>empa</t>
  </si>
  <si>
    <t xml:space="preserve">5012 - SODAS, REFRESCOS AGUA </t>
  </si>
  <si>
    <t xml:space="preserve">sodas </t>
  </si>
  <si>
    <t xml:space="preserve">5013 - FIAMBRERAS, ENVASES VARIOS </t>
  </si>
  <si>
    <t xml:space="preserve">5014 - ARROZ,LEGUMBRES,PAPITAS, ETC </t>
  </si>
  <si>
    <t xml:space="preserve">arroz </t>
  </si>
  <si>
    <t xml:space="preserve">perejil </t>
  </si>
  <si>
    <t>platano</t>
  </si>
  <si>
    <t>papitas</t>
  </si>
  <si>
    <t>6101 - GAS</t>
  </si>
  <si>
    <t xml:space="preserve">Total Costo de Venta </t>
  </si>
  <si>
    <t xml:space="preserve">CANTIDADES </t>
  </si>
  <si>
    <t>PRESUPUESTO Costo de Venta DIC 23</t>
  </si>
  <si>
    <t>kg</t>
  </si>
  <si>
    <t>mensual</t>
  </si>
  <si>
    <t xml:space="preserve">semanal </t>
  </si>
  <si>
    <t>SUMATORIA</t>
  </si>
  <si>
    <t>u</t>
  </si>
  <si>
    <t>bolsas</t>
  </si>
  <si>
    <t xml:space="preserve">costilla para parrilla </t>
  </si>
  <si>
    <t>lb</t>
  </si>
  <si>
    <t>semana 1</t>
  </si>
  <si>
    <t>semana 2</t>
  </si>
  <si>
    <t>semana 3</t>
  </si>
  <si>
    <t>semana 4</t>
  </si>
  <si>
    <t xml:space="preserve">cheque </t>
  </si>
  <si>
    <t>contado</t>
  </si>
  <si>
    <t>TOTAL</t>
  </si>
  <si>
    <t>sumat sem</t>
  </si>
  <si>
    <t>total</t>
  </si>
  <si>
    <t>platano maduro</t>
  </si>
  <si>
    <t>repollo</t>
  </si>
  <si>
    <t>piña</t>
  </si>
  <si>
    <t>apio</t>
  </si>
  <si>
    <t>cebolla</t>
  </si>
  <si>
    <t>pimenton</t>
  </si>
  <si>
    <t>mazorca</t>
  </si>
  <si>
    <t>8x8 cd</t>
  </si>
  <si>
    <t>vaso #16</t>
  </si>
  <si>
    <t>huevo</t>
  </si>
  <si>
    <t>jugo variado</t>
  </si>
  <si>
    <t>coca L</t>
  </si>
  <si>
    <t>agua</t>
  </si>
  <si>
    <t>8x8 sd</t>
  </si>
  <si>
    <t>vaso #12</t>
  </si>
  <si>
    <t>tapas #16</t>
  </si>
  <si>
    <t>hielo</t>
  </si>
  <si>
    <t>mantequilla</t>
  </si>
  <si>
    <t xml:space="preserve">set de cuchara </t>
  </si>
  <si>
    <t xml:space="preserve">tapa de 10 oz </t>
  </si>
  <si>
    <t>papa</t>
  </si>
  <si>
    <t>ponche de fruta</t>
  </si>
  <si>
    <t>tang de naranja</t>
  </si>
  <si>
    <t>harina</t>
  </si>
  <si>
    <t xml:space="preserve">ketchup galon </t>
  </si>
  <si>
    <t>leche evaporada</t>
  </si>
  <si>
    <t>mayonesa de galon</t>
  </si>
  <si>
    <t xml:space="preserve">aceite tanque </t>
  </si>
  <si>
    <t>queso blanco</t>
  </si>
  <si>
    <t>yuca precocida</t>
  </si>
  <si>
    <t xml:space="preserve">azucar </t>
  </si>
  <si>
    <t xml:space="preserve">papel anti grasa </t>
  </si>
  <si>
    <t>c plastico 3*9</t>
  </si>
  <si>
    <t>ajo en plvo</t>
  </si>
  <si>
    <t xml:space="preserve">caldo rojo </t>
  </si>
  <si>
    <t>queso amarillo</t>
  </si>
  <si>
    <t>consome de pollo</t>
  </si>
  <si>
    <t xml:space="preserve">oregano </t>
  </si>
  <si>
    <t>pimienta molida</t>
  </si>
  <si>
    <t>avena</t>
  </si>
  <si>
    <t>PASTA DE TOMATE</t>
  </si>
  <si>
    <t>CODITO</t>
  </si>
  <si>
    <t>MOSTAZA</t>
  </si>
  <si>
    <t>SET DE CUBIERTOS</t>
  </si>
  <si>
    <t>CAFÉ</t>
  </si>
  <si>
    <t>TE FRIO</t>
  </si>
  <si>
    <t>ZANAHORIA</t>
  </si>
  <si>
    <t>CULANTRO</t>
  </si>
  <si>
    <t xml:space="preserve">ajo </t>
  </si>
  <si>
    <t>ñame</t>
  </si>
  <si>
    <t>medida</t>
  </si>
  <si>
    <t>cajas</t>
  </si>
  <si>
    <t xml:space="preserve">Total Costos </t>
  </si>
  <si>
    <t xml:space="preserve">bolsas </t>
  </si>
  <si>
    <t>manteca</t>
  </si>
  <si>
    <t xml:space="preserve">macarron </t>
  </si>
  <si>
    <t xml:space="preserve">te </t>
  </si>
  <si>
    <t xml:space="preserve">6*6 </t>
  </si>
  <si>
    <t xml:space="preserve">sozon para res </t>
  </si>
  <si>
    <t xml:space="preserve">picante </t>
  </si>
  <si>
    <t>PRESUPUESTO Costo de Venta ENERO 24</t>
  </si>
  <si>
    <t>mozzarella</t>
  </si>
  <si>
    <t xml:space="preserve">salsa china </t>
  </si>
  <si>
    <t>papel aluminio</t>
  </si>
  <si>
    <t>sal</t>
  </si>
  <si>
    <t>sazonador de marisco</t>
  </si>
  <si>
    <t>limon</t>
  </si>
  <si>
    <t>bolsas de papel craft</t>
  </si>
  <si>
    <t>RES TOTAL mens</t>
  </si>
  <si>
    <t>PRESUPUESTO Costo de Venta FEBRERO 24</t>
  </si>
  <si>
    <t xml:space="preserve"> </t>
  </si>
  <si>
    <t>envase de 24 oz</t>
  </si>
  <si>
    <t>tapas #24</t>
  </si>
  <si>
    <t>vinagre</t>
  </si>
  <si>
    <t>CANTIDADES STOCK</t>
  </si>
  <si>
    <t xml:space="preserve">comprar </t>
  </si>
  <si>
    <t>lechuga</t>
  </si>
  <si>
    <t>tomate</t>
  </si>
  <si>
    <t>envase de 0.75</t>
  </si>
  <si>
    <t>envase de 2oz</t>
  </si>
  <si>
    <t>tapas de 0.75</t>
  </si>
  <si>
    <t>tapas de 2 oz</t>
  </si>
  <si>
    <t xml:space="preserve">envase de 4 oz </t>
  </si>
  <si>
    <t>envase de 8oz</t>
  </si>
  <si>
    <t>polvo de hornear</t>
  </si>
  <si>
    <t xml:space="preserve">porta vaso </t>
  </si>
  <si>
    <t>carne molida</t>
  </si>
  <si>
    <t>tapas de café 8oz</t>
  </si>
  <si>
    <t xml:space="preserve">humo liquido </t>
  </si>
  <si>
    <t>levadura</t>
  </si>
  <si>
    <t xml:space="preserve">carnes adicionales </t>
  </si>
  <si>
    <t>otros viveres</t>
  </si>
  <si>
    <t>5013 - FIAMBRERAS, ENVASES VARIOS, DESECHABLES</t>
  </si>
  <si>
    <t>carnes adicionales</t>
  </si>
  <si>
    <t>paq</t>
  </si>
  <si>
    <t>jugo</t>
  </si>
  <si>
    <t>yuca</t>
  </si>
  <si>
    <t>masos</t>
  </si>
  <si>
    <t>otras legumbres</t>
  </si>
  <si>
    <t>otros</t>
  </si>
  <si>
    <t>otras bebidas</t>
  </si>
  <si>
    <t>*</t>
  </si>
  <si>
    <t>mierco</t>
  </si>
  <si>
    <t xml:space="preserve">cuando se acaba </t>
  </si>
  <si>
    <t xml:space="preserve">no hay </t>
  </si>
  <si>
    <t>costilla para parrilla +</t>
  </si>
  <si>
    <t>costilla desayuno +</t>
  </si>
  <si>
    <t>pepino</t>
  </si>
  <si>
    <t>cable telefono internet</t>
  </si>
  <si>
    <t>gasolina</t>
  </si>
  <si>
    <t xml:space="preserve">dia de teo </t>
  </si>
  <si>
    <t xml:space="preserve">dia de leonel </t>
  </si>
  <si>
    <t>gastos de admins</t>
  </si>
  <si>
    <t xml:space="preserve">guantes </t>
  </si>
  <si>
    <t>guandu</t>
  </si>
  <si>
    <t xml:space="preserve">gastos colaboradores </t>
  </si>
  <si>
    <t>vaso de café</t>
  </si>
  <si>
    <t>tapas de 6oz</t>
  </si>
  <si>
    <t>papel higienico</t>
  </si>
  <si>
    <t>papel toalla</t>
  </si>
  <si>
    <t xml:space="preserve">horas trabajadas alicia </t>
  </si>
  <si>
    <t>uniformes colabo</t>
  </si>
  <si>
    <t>poliza rest contenido</t>
  </si>
  <si>
    <t xml:space="preserve">tarjeta de banistmo </t>
  </si>
  <si>
    <t>seguro italo prestamo banistmo</t>
  </si>
  <si>
    <t>seguro italo prestamo CA</t>
  </si>
  <si>
    <t>comidas</t>
  </si>
  <si>
    <t xml:space="preserve">gastos de pedidos de comidas </t>
  </si>
  <si>
    <t xml:space="preserve">medicinas </t>
  </si>
  <si>
    <t>cargos bancarios por 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</si>
</sst>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B/.&quot;* #,##0.00_-;\-&quot;B/.&quot;* #,##0.00_-;_-&quot;B/.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[Red]\-* #,##0.00_-;_-* &quot;-&quot;??_-;_-@_-"/>
    <numFmt numFmtId="166" formatCode="0.0"/>
    <numFmt numFmtId="167" formatCode="_-&quot;B/.&quot;* #,##0.0_-;\-&quot;B/.&quot;* #,##0.0_-;_-&quot;B/.&quot;* &quot;-&quot;??_-;_-@_-"/>
    <numFmt numFmtId="168" formatCode="&quot;B/.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164" fontId="0" fillId="0" borderId="0" xfId="0" applyNumberFormat="1"/>
    <xf numFmtId="43" fontId="0" fillId="0" borderId="0" xfId="0" applyNumberFormat="1"/>
    <xf numFmtId="164" fontId="2" fillId="2" borderId="1" xfId="0" applyNumberFormat="1" applyFont="1" applyFill="1" applyBorder="1" applyAlignment="1">
      <alignment horizontal="center"/>
    </xf>
    <xf numFmtId="0" fontId="2" fillId="2" borderId="12" xfId="0" applyFont="1" applyFill="1" applyBorder="1"/>
    <xf numFmtId="0" fontId="2" fillId="0" borderId="13" xfId="0" applyFont="1" applyBorder="1" applyAlignment="1">
      <alignment horizontal="center"/>
    </xf>
    <xf numFmtId="0" fontId="2" fillId="2" borderId="14" xfId="0" applyFont="1" applyFill="1" applyBorder="1"/>
    <xf numFmtId="0" fontId="0" fillId="2" borderId="14" xfId="0" applyFill="1" applyBorder="1"/>
    <xf numFmtId="0" fontId="2" fillId="2" borderId="16" xfId="0" applyFont="1" applyFill="1" applyBorder="1"/>
    <xf numFmtId="0" fontId="2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44" fontId="3" fillId="2" borderId="1" xfId="1" applyFont="1" applyFill="1" applyBorder="1" applyAlignment="1">
      <alignment horizontal="center" vertical="center"/>
    </xf>
    <xf numFmtId="0" fontId="4" fillId="0" borderId="1" xfId="0" applyFont="1" applyBorder="1"/>
    <xf numFmtId="44" fontId="4" fillId="0" borderId="1" xfId="0" applyNumberFormat="1" applyFont="1" applyBorder="1" applyAlignment="1">
      <alignment horizontal="center"/>
    </xf>
    <xf numFmtId="44" fontId="4" fillId="0" borderId="11" xfId="1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44" fontId="4" fillId="2" borderId="1" xfId="1" applyFont="1" applyFill="1" applyBorder="1" applyAlignment="1">
      <alignment horizontal="left"/>
    </xf>
    <xf numFmtId="44" fontId="4" fillId="2" borderId="1" xfId="1" applyFont="1" applyFill="1" applyBorder="1" applyAlignment="1">
      <alignment horizontal="center" vertical="center"/>
    </xf>
    <xf numFmtId="44" fontId="4" fillId="0" borderId="1" xfId="1" applyFont="1" applyBorder="1"/>
    <xf numFmtId="164" fontId="4" fillId="2" borderId="1" xfId="2" applyNumberFormat="1" applyFont="1" applyFill="1" applyBorder="1" applyAlignment="1">
      <alignment horizontal="left"/>
    </xf>
    <xf numFmtId="164" fontId="3" fillId="2" borderId="1" xfId="2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65" fontId="3" fillId="0" borderId="15" xfId="0" applyNumberFormat="1" applyFont="1" applyBorder="1" applyAlignment="1">
      <alignment horizontal="center"/>
    </xf>
    <xf numFmtId="165" fontId="5" fillId="0" borderId="17" xfId="0" applyNumberFormat="1" applyFont="1" applyBorder="1" applyAlignment="1">
      <alignment horizontal="center"/>
    </xf>
    <xf numFmtId="164" fontId="5" fillId="2" borderId="7" xfId="0" applyNumberFormat="1" applyFont="1" applyFill="1" applyBorder="1" applyAlignment="1">
      <alignment horizontal="left"/>
    </xf>
    <xf numFmtId="0" fontId="0" fillId="2" borderId="20" xfId="0" applyFill="1" applyBorder="1"/>
    <xf numFmtId="164" fontId="3" fillId="2" borderId="21" xfId="2" applyNumberFormat="1" applyFont="1" applyFill="1" applyBorder="1" applyAlignment="1">
      <alignment horizontal="center" vertical="center"/>
    </xf>
    <xf numFmtId="44" fontId="4" fillId="2" borderId="21" xfId="1" applyFont="1" applyFill="1" applyBorder="1" applyAlignment="1">
      <alignment horizontal="center" vertical="center"/>
    </xf>
    <xf numFmtId="44" fontId="4" fillId="0" borderId="22" xfId="1" applyFont="1" applyBorder="1" applyAlignment="1">
      <alignment horizontal="center"/>
    </xf>
    <xf numFmtId="165" fontId="3" fillId="0" borderId="23" xfId="0" applyNumberFormat="1" applyFont="1" applyBorder="1" applyAlignment="1">
      <alignment horizontal="center"/>
    </xf>
    <xf numFmtId="43" fontId="5" fillId="0" borderId="7" xfId="0" applyNumberFormat="1" applyFont="1" applyBorder="1"/>
    <xf numFmtId="44" fontId="6" fillId="0" borderId="1" xfId="0" applyNumberFormat="1" applyFont="1" applyBorder="1" applyAlignment="1">
      <alignment horizontal="center"/>
    </xf>
    <xf numFmtId="44" fontId="4" fillId="0" borderId="7" xfId="0" applyNumberFormat="1" applyFont="1" applyBorder="1" applyAlignment="1">
      <alignment horizontal="center"/>
    </xf>
    <xf numFmtId="44" fontId="4" fillId="0" borderId="11" xfId="0" applyNumberFormat="1" applyFont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2" borderId="4" xfId="0" applyFont="1" applyFill="1" applyBorder="1"/>
    <xf numFmtId="164" fontId="3" fillId="2" borderId="1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4" xfId="0" applyFont="1" applyFill="1" applyBorder="1"/>
    <xf numFmtId="1" fontId="4" fillId="0" borderId="5" xfId="0" applyNumberFormat="1" applyFont="1" applyBorder="1" applyAlignment="1">
      <alignment horizontal="center"/>
    </xf>
    <xf numFmtId="44" fontId="4" fillId="0" borderId="0" xfId="1" applyFont="1" applyBorder="1"/>
    <xf numFmtId="0" fontId="3" fillId="2" borderId="6" xfId="0" applyFont="1" applyFill="1" applyBorder="1"/>
    <xf numFmtId="164" fontId="3" fillId="2" borderId="7" xfId="0" applyNumberFormat="1" applyFont="1" applyFill="1" applyBorder="1" applyAlignment="1">
      <alignment horizontal="left"/>
    </xf>
    <xf numFmtId="44" fontId="3" fillId="2" borderId="7" xfId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4" fontId="3" fillId="0" borderId="8" xfId="1" applyFont="1" applyBorder="1"/>
    <xf numFmtId="44" fontId="3" fillId="2" borderId="21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44" fontId="0" fillId="0" borderId="24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4" fillId="0" borderId="14" xfId="0" applyFont="1" applyBorder="1" applyAlignment="1">
      <alignment horizontal="center"/>
    </xf>
    <xf numFmtId="1" fontId="4" fillId="0" borderId="15" xfId="0" applyNumberFormat="1" applyFont="1" applyBorder="1"/>
    <xf numFmtId="0" fontId="4" fillId="0" borderId="14" xfId="0" applyFont="1" applyBorder="1"/>
    <xf numFmtId="166" fontId="4" fillId="0" borderId="14" xfId="0" applyNumberFormat="1" applyFont="1" applyBorder="1"/>
    <xf numFmtId="166" fontId="4" fillId="0" borderId="15" xfId="0" applyNumberFormat="1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166" fontId="4" fillId="0" borderId="1" xfId="0" applyNumberFormat="1" applyFont="1" applyBorder="1" applyAlignment="1">
      <alignment horizontal="center"/>
    </xf>
    <xf numFmtId="167" fontId="4" fillId="2" borderId="1" xfId="1" applyNumberFormat="1" applyFont="1" applyFill="1" applyBorder="1" applyAlignment="1">
      <alignment horizontal="center" vertical="center"/>
    </xf>
    <xf numFmtId="44" fontId="4" fillId="0" borderId="22" xfId="0" applyNumberFormat="1" applyFont="1" applyBorder="1" applyAlignment="1">
      <alignment horizontal="center"/>
    </xf>
    <xf numFmtId="44" fontId="0" fillId="0" borderId="0" xfId="0" applyNumberFormat="1"/>
    <xf numFmtId="168" fontId="4" fillId="0" borderId="1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4" fillId="0" borderId="7" xfId="1" applyNumberFormat="1" applyFont="1" applyBorder="1" applyAlignment="1">
      <alignment horizontal="center"/>
    </xf>
    <xf numFmtId="2" fontId="0" fillId="0" borderId="0" xfId="0" applyNumberFormat="1"/>
    <xf numFmtId="168" fontId="0" fillId="0" borderId="0" xfId="1" applyNumberFormat="1" applyFont="1"/>
  </cellXfs>
  <cellStyles count="3">
    <cellStyle name="Moneda" xfId="1" builtinId="4"/>
    <cellStyle name="Normal" xfId="0" builtinId="0"/>
    <cellStyle name="Porcentaje" xfId="2" builtinId="5"/>
  </cellStyles>
  <dxfs count="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TALOS%20ADMINISTRACION\PRESUPUESTO%20NOVIEMBRE%202025%20001\PRESUPUESTO%20MAYO%202024%20resultado.xlsx" TargetMode="External"/><Relationship Id="rId1" Type="http://schemas.openxmlformats.org/officeDocument/2006/relationships/externalLinkPath" Target="PRESUPUESTO%20MAYO%202024%20resulta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TALOS%20ADMINISTRACION\PRESUPUESTO%20NOVIEMBRE%202025%20001\calculos%20de%20insumos\produccion%20semanal%20COMBOS.xlsx" TargetMode="External"/><Relationship Id="rId1" Type="http://schemas.openxmlformats.org/officeDocument/2006/relationships/externalLinkPath" Target="calculos%20de%20insumos/produccion%20semanal%20COMB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s%20de%20insumos/produccion%20semanal%20CRIOLL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alo&#180;s\Documents\ITALOS%20ADMINISTRACION%20Y%20CONTABILIDAD\PRESUPUESTOS\PRESUPUESTO%20MAYO%202024\PRESUPUESTO%20MARZ%202024%20resultad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s%20de%20insumos/produccion%20semanal%20DESAYUN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alo&#180;s\Documents\ITALOS%20ADMINISTRACION%20Y%20CONTABILIDAD\PRESUPUESTO%20DIC%202023\produccion%20semanal%20COMBO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alo&#180;s\Documents\ITALOS%20ADMINISTRACION%20Y%20CONTABILIDAD\PRESUPUESTO%20DIC%202023\produccion%20semanal%20CRIOLLA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alo&#180;s\Documents\ITALOS%20ADMINISTRACION%20Y%20CONTABILIDAD\PRESUPUESTO%20DIC%202023\produccion%20semanal%20DESAYU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 estimado"/>
      <sheetName val="Hoja1"/>
      <sheetName val="ventas"/>
      <sheetName val="ventas real"/>
    </sheetNames>
    <sheetDataSet>
      <sheetData sheetId="0">
        <row r="14">
          <cell r="O14">
            <v>4565.1795844298849</v>
          </cell>
        </row>
        <row r="25">
          <cell r="N25">
            <v>55</v>
          </cell>
        </row>
        <row r="30">
          <cell r="N30">
            <v>55</v>
          </cell>
        </row>
        <row r="32">
          <cell r="N32">
            <v>200</v>
          </cell>
        </row>
        <row r="35">
          <cell r="O35">
            <v>635.81055600000002</v>
          </cell>
        </row>
        <row r="40">
          <cell r="O40">
            <v>4323.9313217709532</v>
          </cell>
        </row>
        <row r="45">
          <cell r="O45">
            <v>1564.0176949812571</v>
          </cell>
        </row>
        <row r="56">
          <cell r="N56">
            <v>550</v>
          </cell>
        </row>
        <row r="58">
          <cell r="O58">
            <v>2526.2252885286666</v>
          </cell>
        </row>
        <row r="62">
          <cell r="O62">
            <v>950</v>
          </cell>
        </row>
        <row r="63">
          <cell r="O63">
            <v>3546.8975534787924</v>
          </cell>
        </row>
        <row r="64">
          <cell r="N64">
            <v>922.40603808326387</v>
          </cell>
        </row>
        <row r="65">
          <cell r="N65">
            <v>335.81107742382073</v>
          </cell>
        </row>
        <row r="66">
          <cell r="N66">
            <v>286.34869827170741</v>
          </cell>
        </row>
        <row r="67">
          <cell r="N67">
            <v>296.38669169999997</v>
          </cell>
        </row>
        <row r="68">
          <cell r="N68">
            <v>1205.9450480000003</v>
          </cell>
        </row>
        <row r="69">
          <cell r="N69">
            <v>500</v>
          </cell>
        </row>
        <row r="71">
          <cell r="O71">
            <v>2150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DAS"/>
      <sheetName val="ARROZ"/>
      <sheetName val="CHIMICHURRI"/>
      <sheetName val="CHIMICHURRI calculo"/>
      <sheetName val="PATACONES"/>
      <sheetName val="POLLO"/>
      <sheetName val="POLLO calculo"/>
      <sheetName val="CHULETAS"/>
      <sheetName val="CHURRASCO"/>
      <sheetName val="COSTILLAS ASADAS"/>
      <sheetName val="FILETE DE PECHUGA"/>
      <sheetName val="FILETE DE RES "/>
      <sheetName val="RINCON"/>
      <sheetName val="chorizo parrilla "/>
      <sheetName val="yuca"/>
      <sheetName val="papitas"/>
    </sheetNames>
    <sheetDataSet>
      <sheetData sheetId="0">
        <row r="18">
          <cell r="C18">
            <v>62.973285811333334</v>
          </cell>
        </row>
        <row r="21">
          <cell r="B21">
            <v>1826.2252885286666</v>
          </cell>
        </row>
      </sheetData>
      <sheetData sheetId="1">
        <row r="18">
          <cell r="B18">
            <v>72.74495568479999</v>
          </cell>
          <cell r="D18">
            <v>81.627094759843345</v>
          </cell>
          <cell r="E18">
            <v>48.803722440421048</v>
          </cell>
        </row>
      </sheetData>
      <sheetData sheetId="2">
        <row r="18">
          <cell r="B18">
            <v>27.984256451985061</v>
          </cell>
        </row>
      </sheetData>
      <sheetData sheetId="3"/>
      <sheetData sheetId="4">
        <row r="18">
          <cell r="C18">
            <v>298.27989403302854</v>
          </cell>
        </row>
      </sheetData>
      <sheetData sheetId="5"/>
      <sheetData sheetId="6">
        <row r="14">
          <cell r="B14">
            <v>32.729569136400002</v>
          </cell>
        </row>
        <row r="18">
          <cell r="B18">
            <v>4131.6058224107055</v>
          </cell>
        </row>
      </sheetData>
      <sheetData sheetId="7">
        <row r="18">
          <cell r="C18">
            <v>270.26897636255995</v>
          </cell>
          <cell r="F18">
            <v>78.378003145142387</v>
          </cell>
        </row>
        <row r="21">
          <cell r="C21">
            <v>1404.5338163609517</v>
          </cell>
        </row>
      </sheetData>
      <sheetData sheetId="8">
        <row r="18">
          <cell r="B18">
            <v>18.953177664399998</v>
          </cell>
        </row>
        <row r="21">
          <cell r="C21">
            <v>285.96554460046718</v>
          </cell>
        </row>
      </sheetData>
      <sheetData sheetId="9">
        <row r="21">
          <cell r="C21">
            <v>391.36151984232163</v>
          </cell>
        </row>
      </sheetData>
      <sheetData sheetId="10">
        <row r="21">
          <cell r="E21">
            <v>10.778595782581812</v>
          </cell>
        </row>
        <row r="22">
          <cell r="C22">
            <v>90.54020457368722</v>
          </cell>
        </row>
      </sheetData>
      <sheetData sheetId="11">
        <row r="20">
          <cell r="E20">
            <v>11.269347606399998</v>
          </cell>
        </row>
        <row r="21">
          <cell r="C21">
            <v>405.24573992614393</v>
          </cell>
        </row>
      </sheetData>
      <sheetData sheetId="12"/>
      <sheetData sheetId="13">
        <row r="18">
          <cell r="B18">
            <v>49.430411835199997</v>
          </cell>
        </row>
        <row r="21">
          <cell r="C21">
            <v>134.16826069554287</v>
          </cell>
        </row>
      </sheetData>
      <sheetData sheetId="14">
        <row r="20">
          <cell r="E20">
            <v>29.287222499999999</v>
          </cell>
        </row>
      </sheetData>
      <sheetData sheetId="15">
        <row r="22">
          <cell r="D22">
            <v>22.168107500000005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MO"/>
      <sheetName val="LENGUA"/>
      <sheetName val="FILETE DE PESCADO"/>
      <sheetName val="COSTILLA HORNO"/>
      <sheetName val="FILETE PECHUGA "/>
      <sheetName val="BISTEC PICADO"/>
      <sheetName val="CARNE GUISADA"/>
      <sheetName val="MONDONGO"/>
      <sheetName val="CORVINA"/>
      <sheetName val="BACALAO"/>
      <sheetName val="GUACHO DE RABITO"/>
      <sheetName val="PAVO "/>
    </sheetNames>
    <sheetDataSet>
      <sheetData sheetId="0">
        <row r="20">
          <cell r="E20">
            <v>9.0967199999999995</v>
          </cell>
        </row>
        <row r="21">
          <cell r="C21">
            <v>236.51471999999998</v>
          </cell>
        </row>
      </sheetData>
      <sheetData sheetId="1">
        <row r="20">
          <cell r="E20">
            <v>5.460119999999999</v>
          </cell>
        </row>
        <row r="21">
          <cell r="C21">
            <v>184.98886559999997</v>
          </cell>
        </row>
      </sheetData>
      <sheetData sheetId="2">
        <row r="21">
          <cell r="C21">
            <v>283.16468399999997</v>
          </cell>
        </row>
      </sheetData>
      <sheetData sheetId="3">
        <row r="18">
          <cell r="C18">
            <v>231.334</v>
          </cell>
        </row>
        <row r="20">
          <cell r="E20">
            <v>15.036710000000001</v>
          </cell>
        </row>
        <row r="21">
          <cell r="C21">
            <v>390.35299160000005</v>
          </cell>
        </row>
      </sheetData>
      <sheetData sheetId="4">
        <row r="21">
          <cell r="E21">
            <v>12.117296998400001</v>
          </cell>
        </row>
        <row r="22">
          <cell r="C22">
            <v>101.78529478656002</v>
          </cell>
        </row>
      </sheetData>
      <sheetData sheetId="5">
        <row r="20">
          <cell r="E20">
            <v>8.8042275000000014</v>
          </cell>
        </row>
        <row r="21">
          <cell r="C21">
            <v>253.56175200000004</v>
          </cell>
        </row>
      </sheetData>
      <sheetData sheetId="6">
        <row r="20">
          <cell r="E20">
            <v>6.7624025000000012</v>
          </cell>
        </row>
        <row r="21">
          <cell r="C21">
            <v>155.53525750000003</v>
          </cell>
        </row>
      </sheetData>
      <sheetData sheetId="7">
        <row r="20">
          <cell r="E20">
            <v>4.9796149999999999</v>
          </cell>
        </row>
        <row r="21">
          <cell r="C21">
            <v>47.804303999999995</v>
          </cell>
        </row>
      </sheetData>
      <sheetData sheetId="8">
        <row r="21">
          <cell r="E21">
            <v>6.8302080000000016</v>
          </cell>
        </row>
        <row r="22">
          <cell r="C22">
            <v>75.132288000000017</v>
          </cell>
        </row>
      </sheetData>
      <sheetData sheetId="9">
        <row r="20">
          <cell r="E20">
            <v>3.1284000000000005</v>
          </cell>
        </row>
        <row r="21">
          <cell r="C21">
            <v>127.51358400000001</v>
          </cell>
        </row>
      </sheetData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"/>
      <sheetName val="ventas"/>
      <sheetName val="Hoja1"/>
    </sheetNames>
    <sheetDataSet>
      <sheetData sheetId="0">
        <row r="14">
          <cell r="O14">
            <v>3573.7875779000005</v>
          </cell>
        </row>
        <row r="42">
          <cell r="N42">
            <v>287.5</v>
          </cell>
        </row>
        <row r="43">
          <cell r="N43">
            <v>222.75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MOJABANO"/>
      <sheetName val="HIGADO"/>
      <sheetName val="COSTILLA FRITA"/>
      <sheetName val="BOFE"/>
      <sheetName val="SALCHICHA GUI"/>
      <sheetName val="BOLLO"/>
      <sheetName val="CARIMAÑOLA"/>
      <sheetName val="TORTILLA"/>
      <sheetName val="EMP DE MAIZ"/>
      <sheetName val="CHORIZO TABLEÑO"/>
    </sheetNames>
    <sheetDataSet>
      <sheetData sheetId="0">
        <row r="18">
          <cell r="B18">
            <v>11.91</v>
          </cell>
        </row>
        <row r="20">
          <cell r="C20">
            <v>5.9550000000000001</v>
          </cell>
        </row>
      </sheetData>
      <sheetData sheetId="1">
        <row r="20">
          <cell r="F20">
            <v>18.18181818181818</v>
          </cell>
        </row>
        <row r="21">
          <cell r="C21">
            <v>78.967625000000012</v>
          </cell>
        </row>
      </sheetData>
      <sheetData sheetId="2">
        <row r="20">
          <cell r="E20">
            <v>7.9025600000000011</v>
          </cell>
        </row>
        <row r="21">
          <cell r="C21">
            <v>226.64542080000004</v>
          </cell>
        </row>
      </sheetData>
      <sheetData sheetId="3">
        <row r="20">
          <cell r="E20">
            <v>13.340359999999999</v>
          </cell>
        </row>
        <row r="21">
          <cell r="C21">
            <v>193.70202719999997</v>
          </cell>
        </row>
      </sheetData>
      <sheetData sheetId="4">
        <row r="21">
          <cell r="E21">
            <v>9.1115750000000002</v>
          </cell>
        </row>
        <row r="22">
          <cell r="C22">
            <v>51.024819999999998</v>
          </cell>
        </row>
      </sheetData>
      <sheetData sheetId="5">
        <row r="18">
          <cell r="B18">
            <v>78.820999999999998</v>
          </cell>
        </row>
        <row r="20">
          <cell r="C20">
            <v>157.642</v>
          </cell>
        </row>
      </sheetData>
      <sheetData sheetId="6">
        <row r="18">
          <cell r="B18">
            <v>36.615999999999993</v>
          </cell>
        </row>
        <row r="20">
          <cell r="C20">
            <v>60.782559999999989</v>
          </cell>
        </row>
      </sheetData>
      <sheetData sheetId="7">
        <row r="19">
          <cell r="B19">
            <v>10.077450000000001</v>
          </cell>
        </row>
        <row r="20">
          <cell r="C20">
            <v>52.402740000000009</v>
          </cell>
        </row>
      </sheetData>
      <sheetData sheetId="8">
        <row r="19">
          <cell r="B19">
            <v>6.1459285714285716</v>
          </cell>
        </row>
        <row r="20">
          <cell r="C20">
            <v>41.792314285714284</v>
          </cell>
        </row>
      </sheetData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DAS"/>
      <sheetName val="ARROZ"/>
      <sheetName val="CHIMICHURRI"/>
      <sheetName val="CHIMICHURRI calculo"/>
      <sheetName val="PATACONES"/>
      <sheetName val="POLLO"/>
      <sheetName val="POLLO calculo"/>
      <sheetName val="CHULETAS"/>
      <sheetName val="CHURRASCO"/>
      <sheetName val="COSTILLAS ASADAS"/>
      <sheetName val="FILETE DE PECHUGA"/>
      <sheetName val="FILETE DE RES "/>
      <sheetName val="RINCON"/>
      <sheetName val="chorizo parrilla "/>
      <sheetName val="papitas"/>
    </sheetNames>
    <sheetDataSet>
      <sheetData sheetId="0">
        <row r="21">
          <cell r="B21">
            <v>2075.2466666666664</v>
          </cell>
        </row>
      </sheetData>
      <sheetData sheetId="1">
        <row r="21">
          <cell r="B21">
            <v>716</v>
          </cell>
          <cell r="D21">
            <v>198.71999999999997</v>
          </cell>
          <cell r="E21">
            <v>276</v>
          </cell>
        </row>
      </sheetData>
      <sheetData sheetId="2">
        <row r="20">
          <cell r="B20">
            <v>691.19542233619984</v>
          </cell>
        </row>
      </sheetData>
      <sheetData sheetId="3" refreshError="1"/>
      <sheetData sheetId="4">
        <row r="21">
          <cell r="B21">
            <v>440.0938285714285</v>
          </cell>
        </row>
      </sheetData>
      <sheetData sheetId="5" refreshError="1"/>
      <sheetData sheetId="6">
        <row r="17">
          <cell r="B17">
            <v>3915.909971313999</v>
          </cell>
        </row>
      </sheetData>
      <sheetData sheetId="7">
        <row r="21">
          <cell r="C21">
            <v>947.41346999999996</v>
          </cell>
        </row>
      </sheetData>
      <sheetData sheetId="8">
        <row r="20">
          <cell r="C20">
            <v>400.19216160000002</v>
          </cell>
        </row>
      </sheetData>
      <sheetData sheetId="9">
        <row r="21">
          <cell r="C21">
            <v>309.17718719999999</v>
          </cell>
        </row>
      </sheetData>
      <sheetData sheetId="10">
        <row r="22">
          <cell r="C22">
            <v>82.883894827139983</v>
          </cell>
        </row>
      </sheetData>
      <sheetData sheetId="11">
        <row r="21">
          <cell r="C21">
            <v>67.766017500000004</v>
          </cell>
        </row>
      </sheetData>
      <sheetData sheetId="12">
        <row r="21">
          <cell r="C21">
            <v>160.321316</v>
          </cell>
        </row>
      </sheetData>
      <sheetData sheetId="13">
        <row r="21">
          <cell r="C21">
            <v>105.48208</v>
          </cell>
        </row>
      </sheetData>
      <sheetData sheetId="14">
        <row r="24">
          <cell r="C24">
            <v>939.24180000000013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MO"/>
      <sheetName val="LENGUA"/>
      <sheetName val="FILETE DE PESCADO"/>
      <sheetName val="COSTILLA HORNO"/>
      <sheetName val="FILETE PECHUGA "/>
      <sheetName val="BISTEC PICADO"/>
      <sheetName val="CARNE GUISADA"/>
      <sheetName val="MONDONGO"/>
      <sheetName val="CORVINA"/>
      <sheetName val="BACALAO"/>
      <sheetName val="GUACHO DE RABITO"/>
      <sheetName val="PAVO "/>
    </sheetNames>
    <sheetDataSet>
      <sheetData sheetId="0">
        <row r="21">
          <cell r="C21">
            <v>175.29173999999998</v>
          </cell>
        </row>
      </sheetData>
      <sheetData sheetId="1">
        <row r="21">
          <cell r="C21">
            <v>210.64190400000001</v>
          </cell>
        </row>
      </sheetData>
      <sheetData sheetId="2">
        <row r="21">
          <cell r="C21">
            <v>207.06273000000004</v>
          </cell>
        </row>
      </sheetData>
      <sheetData sheetId="3">
        <row r="21">
          <cell r="C21">
            <v>658.25916000000007</v>
          </cell>
        </row>
      </sheetData>
      <sheetData sheetId="4">
        <row r="22">
          <cell r="C22">
            <v>189.01671127679995</v>
          </cell>
        </row>
      </sheetData>
      <sheetData sheetId="5">
        <row r="21">
          <cell r="C21">
            <v>227.7780735</v>
          </cell>
        </row>
      </sheetData>
      <sheetData sheetId="6">
        <row r="21">
          <cell r="C21">
            <v>111.69696999999998</v>
          </cell>
        </row>
      </sheetData>
      <sheetData sheetId="7">
        <row r="21">
          <cell r="C21">
            <v>52.612893299999996</v>
          </cell>
        </row>
      </sheetData>
      <sheetData sheetId="8">
        <row r="22">
          <cell r="C22">
            <v>57.407724000000002</v>
          </cell>
        </row>
      </sheetData>
      <sheetData sheetId="9">
        <row r="21">
          <cell r="C21">
            <v>68.779972799999996</v>
          </cell>
        </row>
      </sheetData>
      <sheetData sheetId="10">
        <row r="22">
          <cell r="C22">
            <v>150.62298327999997</v>
          </cell>
        </row>
      </sheetData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MOJABANO"/>
      <sheetName val="HIGADO"/>
      <sheetName val="COSTILLA FRITA"/>
      <sheetName val="BOFE"/>
      <sheetName val="SALCHICHA GUI"/>
      <sheetName val="BOLLO"/>
      <sheetName val="CARIMAÑOLA"/>
      <sheetName val="TORTILLA"/>
      <sheetName val="EMP DE MAIZ"/>
      <sheetName val="CHORIZO TABLEÑO"/>
    </sheetNames>
    <sheetDataSet>
      <sheetData sheetId="0">
        <row r="20">
          <cell r="C20">
            <v>16.192</v>
          </cell>
        </row>
      </sheetData>
      <sheetData sheetId="1">
        <row r="21">
          <cell r="C21">
            <v>54.761849999999995</v>
          </cell>
        </row>
      </sheetData>
      <sheetData sheetId="2">
        <row r="21">
          <cell r="C21">
            <v>81.709800000000001</v>
          </cell>
        </row>
      </sheetData>
      <sheetData sheetId="3">
        <row r="21">
          <cell r="C21">
            <v>98.855499600000016</v>
          </cell>
        </row>
      </sheetData>
      <sheetData sheetId="4">
        <row r="22">
          <cell r="C22">
            <v>187.04070000000002</v>
          </cell>
        </row>
      </sheetData>
      <sheetData sheetId="5">
        <row r="20">
          <cell r="C20">
            <v>86.043000000000006</v>
          </cell>
        </row>
      </sheetData>
      <sheetData sheetId="6">
        <row r="20">
          <cell r="C20">
            <v>49.495632000000001</v>
          </cell>
        </row>
      </sheetData>
      <sheetData sheetId="7">
        <row r="20">
          <cell r="C20">
            <v>24.494080000000004</v>
          </cell>
        </row>
      </sheetData>
      <sheetData sheetId="8">
        <row r="20">
          <cell r="C20">
            <v>19.393599999999999</v>
          </cell>
        </row>
      </sheetData>
      <sheetData sheetId="9">
        <row r="20">
          <cell r="C20">
            <v>15.18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67"/>
  <sheetViews>
    <sheetView zoomScale="130" zoomScaleNormal="130" workbookViewId="0">
      <selection activeCell="G50" sqref="G50"/>
    </sheetView>
  </sheetViews>
  <sheetFormatPr baseColWidth="10" defaultRowHeight="15" x14ac:dyDescent="0.25"/>
  <cols>
    <col min="2" max="2" width="46.85546875" bestFit="1" customWidth="1"/>
    <col min="3" max="3" width="13.85546875" bestFit="1" customWidth="1"/>
    <col min="4" max="4" width="14" bestFit="1" customWidth="1"/>
    <col min="5" max="5" width="12.85546875" style="4" bestFit="1" customWidth="1"/>
    <col min="6" max="6" width="7.140625" style="4" bestFit="1" customWidth="1"/>
  </cols>
  <sheetData>
    <row r="2" spans="2:9" ht="15.75" thickBot="1" x14ac:dyDescent="0.3"/>
    <row r="3" spans="2:9" x14ac:dyDescent="0.25">
      <c r="B3" s="43" t="s">
        <v>132</v>
      </c>
      <c r="C3" s="44" t="s">
        <v>49</v>
      </c>
      <c r="D3" s="45"/>
      <c r="E3" s="46" t="s">
        <v>44</v>
      </c>
      <c r="F3" s="47"/>
    </row>
    <row r="4" spans="2:9" x14ac:dyDescent="0.25">
      <c r="B4" s="48"/>
      <c r="C4" s="49" t="s">
        <v>47</v>
      </c>
      <c r="D4" s="50" t="s">
        <v>48</v>
      </c>
      <c r="E4" s="50" t="s">
        <v>48</v>
      </c>
      <c r="F4" s="51" t="s">
        <v>113</v>
      </c>
    </row>
    <row r="5" spans="2:9" x14ac:dyDescent="0.25">
      <c r="B5" s="48" t="s">
        <v>0</v>
      </c>
      <c r="C5" s="20">
        <f>'[1]resultado estimado'!$O$14</f>
        <v>4565.1795844298849</v>
      </c>
      <c r="D5" s="52"/>
      <c r="E5" s="53"/>
      <c r="F5" s="54"/>
    </row>
    <row r="6" spans="2:9" x14ac:dyDescent="0.25">
      <c r="B6" s="55" t="s">
        <v>1</v>
      </c>
      <c r="C6" s="26">
        <f>[2]CHULETAS!$C$21</f>
        <v>1404.5338163609517</v>
      </c>
      <c r="D6" s="26">
        <f>C6/4</f>
        <v>351.13345409023793</v>
      </c>
      <c r="E6" s="80">
        <f>[2]CHULETAS!$C$18</f>
        <v>270.26897636255995</v>
      </c>
      <c r="F6" s="56" t="s">
        <v>50</v>
      </c>
    </row>
    <row r="7" spans="2:9" x14ac:dyDescent="0.25">
      <c r="B7" s="55" t="s">
        <v>2</v>
      </c>
      <c r="C7" s="26">
        <f>[2]CHURRASCO!$C$21</f>
        <v>285.96554460046718</v>
      </c>
      <c r="D7" s="26">
        <f t="shared" ref="D7:D21" si="0">C7/4</f>
        <v>71.491386150116796</v>
      </c>
      <c r="E7" s="80">
        <f>[2]CHURRASCO!$B$18</f>
        <v>18.953177664399998</v>
      </c>
      <c r="F7" s="56" t="s">
        <v>50</v>
      </c>
    </row>
    <row r="8" spans="2:9" x14ac:dyDescent="0.25">
      <c r="B8" s="55" t="s">
        <v>52</v>
      </c>
      <c r="C8" s="26">
        <f>'[2]COSTILLAS ASADAS'!$C$21</f>
        <v>391.36151984232163</v>
      </c>
      <c r="D8" s="26">
        <f t="shared" si="0"/>
        <v>97.840379960580407</v>
      </c>
      <c r="E8" s="80">
        <f>[2]CHULETAS!$F$18</f>
        <v>78.378003145142387</v>
      </c>
      <c r="F8" s="54" t="s">
        <v>46</v>
      </c>
    </row>
    <row r="9" spans="2:9" x14ac:dyDescent="0.25">
      <c r="B9" s="55" t="s">
        <v>3</v>
      </c>
      <c r="C9" s="26">
        <f>'[2]FILETE DE RES '!$C$21</f>
        <v>405.24573992614393</v>
      </c>
      <c r="D9" s="26">
        <f t="shared" si="0"/>
        <v>101.31143498153598</v>
      </c>
      <c r="E9" s="80">
        <f>'[2]FILETE DE RES '!$E$20</f>
        <v>11.269347606399998</v>
      </c>
      <c r="F9" s="54" t="s">
        <v>46</v>
      </c>
    </row>
    <row r="10" spans="2:9" x14ac:dyDescent="0.25">
      <c r="B10" s="55" t="s">
        <v>4</v>
      </c>
      <c r="C10" s="26"/>
      <c r="D10" s="26">
        <f t="shared" si="0"/>
        <v>0</v>
      </c>
      <c r="E10" s="80"/>
      <c r="F10" s="54" t="s">
        <v>46</v>
      </c>
    </row>
    <row r="11" spans="2:9" x14ac:dyDescent="0.25">
      <c r="B11" s="55" t="s">
        <v>5</v>
      </c>
      <c r="C11" s="26">
        <f>[3]LOMO!$C$21</f>
        <v>236.51471999999998</v>
      </c>
      <c r="D11" s="26">
        <f t="shared" si="0"/>
        <v>59.128679999999996</v>
      </c>
      <c r="E11" s="80">
        <f>[3]LOMO!$E$20</f>
        <v>9.0967199999999995</v>
      </c>
      <c r="F11" s="54" t="s">
        <v>46</v>
      </c>
    </row>
    <row r="12" spans="2:9" x14ac:dyDescent="0.25">
      <c r="B12" s="55" t="s">
        <v>6</v>
      </c>
      <c r="C12" s="26">
        <f>[3]LENGUA!$C$21</f>
        <v>184.98886559999997</v>
      </c>
      <c r="D12" s="26">
        <f t="shared" si="0"/>
        <v>46.247216399999992</v>
      </c>
      <c r="E12" s="80">
        <f>[3]LENGUA!$E$20</f>
        <v>5.460119999999999</v>
      </c>
      <c r="F12" s="54" t="s">
        <v>46</v>
      </c>
      <c r="I12" t="s">
        <v>133</v>
      </c>
    </row>
    <row r="13" spans="2:9" x14ac:dyDescent="0.25">
      <c r="B13" s="55" t="s">
        <v>7</v>
      </c>
      <c r="C13" s="26">
        <f>'[3]COSTILLA HORNO'!$C$21</f>
        <v>390.35299160000005</v>
      </c>
      <c r="D13" s="26">
        <f t="shared" si="0"/>
        <v>97.588247900000013</v>
      </c>
      <c r="E13" s="80">
        <f>'[3]COSTILLA HORNO'!$E$20</f>
        <v>15.036710000000001</v>
      </c>
      <c r="F13" s="54" t="s">
        <v>46</v>
      </c>
    </row>
    <row r="14" spans="2:9" x14ac:dyDescent="0.25">
      <c r="B14" s="55" t="s">
        <v>8</v>
      </c>
      <c r="C14" s="26">
        <f>'[3]BISTEC PICADO'!$C$21</f>
        <v>253.56175200000004</v>
      </c>
      <c r="D14" s="26">
        <f t="shared" si="0"/>
        <v>63.39043800000001</v>
      </c>
      <c r="E14" s="80">
        <f>'[3]BISTEC PICADO'!$E$20</f>
        <v>8.8042275000000014</v>
      </c>
      <c r="F14" s="54" t="s">
        <v>46</v>
      </c>
    </row>
    <row r="15" spans="2:9" x14ac:dyDescent="0.25">
      <c r="B15" s="55" t="s">
        <v>9</v>
      </c>
      <c r="C15" s="26">
        <f>'[3]CARNE GUISADA'!$C$21</f>
        <v>155.53525750000003</v>
      </c>
      <c r="D15" s="26">
        <f t="shared" si="0"/>
        <v>38.883814375000007</v>
      </c>
      <c r="E15" s="80">
        <f>'[3]CARNE GUISADA'!$E$20</f>
        <v>6.7624025000000012</v>
      </c>
      <c r="F15" s="54" t="s">
        <v>46</v>
      </c>
    </row>
    <row r="16" spans="2:9" x14ac:dyDescent="0.25">
      <c r="B16" s="55" t="s">
        <v>10</v>
      </c>
      <c r="C16" s="26">
        <f>[3]MONDONGO!$C$21</f>
        <v>47.804303999999995</v>
      </c>
      <c r="D16" s="26">
        <f t="shared" si="0"/>
        <v>11.951075999999999</v>
      </c>
      <c r="E16" s="80">
        <f>[3]MONDONGO!$E$20</f>
        <v>4.9796149999999999</v>
      </c>
      <c r="F16" s="54" t="s">
        <v>46</v>
      </c>
    </row>
    <row r="17" spans="2:6" x14ac:dyDescent="0.25">
      <c r="B17" s="55" t="s">
        <v>11</v>
      </c>
      <c r="C17" s="26">
        <f>[4]resultado!N26</f>
        <v>0</v>
      </c>
      <c r="D17" s="26">
        <f t="shared" si="0"/>
        <v>0</v>
      </c>
      <c r="E17" s="80"/>
      <c r="F17" s="54" t="s">
        <v>46</v>
      </c>
    </row>
    <row r="18" spans="2:6" x14ac:dyDescent="0.25">
      <c r="B18" s="55" t="s">
        <v>12</v>
      </c>
      <c r="C18" s="26">
        <f>'[5]COSTILLA FRITA'!$C$21</f>
        <v>226.64542080000004</v>
      </c>
      <c r="D18" s="26">
        <f t="shared" si="0"/>
        <v>56.66135520000001</v>
      </c>
      <c r="E18" s="80">
        <f>'[5]COSTILLA FRITA'!$E$20</f>
        <v>7.9025600000000011</v>
      </c>
      <c r="F18" s="54" t="s">
        <v>46</v>
      </c>
    </row>
    <row r="19" spans="2:6" x14ac:dyDescent="0.25">
      <c r="B19" s="55" t="s">
        <v>13</v>
      </c>
      <c r="C19" s="26">
        <f>[5]HIGADO!$C$21</f>
        <v>78.967625000000012</v>
      </c>
      <c r="D19" s="26">
        <f t="shared" si="0"/>
        <v>19.741906250000003</v>
      </c>
      <c r="E19" s="80">
        <f>[5]HIGADO!$F$20</f>
        <v>18.18181818181818</v>
      </c>
      <c r="F19" s="54" t="s">
        <v>46</v>
      </c>
    </row>
    <row r="20" spans="2:6" x14ac:dyDescent="0.25">
      <c r="B20" s="55" t="s">
        <v>14</v>
      </c>
      <c r="C20" s="26">
        <f>[5]BOFE!$C$21</f>
        <v>193.70202719999997</v>
      </c>
      <c r="D20" s="26">
        <f t="shared" si="0"/>
        <v>48.425506799999994</v>
      </c>
      <c r="E20" s="80">
        <f>[5]BOFE!$E$20</f>
        <v>13.340359999999999</v>
      </c>
      <c r="F20" s="54" t="s">
        <v>46</v>
      </c>
    </row>
    <row r="21" spans="2:6" x14ac:dyDescent="0.25">
      <c r="B21" s="55" t="s">
        <v>153</v>
      </c>
      <c r="C21" s="26">
        <f>'[1]resultado estimado'!$N$25+'[1]resultado estimado'!$N$30+'[1]resultado estimado'!$N$32</f>
        <v>310</v>
      </c>
      <c r="D21" s="26">
        <f t="shared" si="0"/>
        <v>77.5</v>
      </c>
      <c r="E21" s="80"/>
      <c r="F21" s="54" t="s">
        <v>46</v>
      </c>
    </row>
    <row r="22" spans="2:6" x14ac:dyDescent="0.25">
      <c r="B22" s="55"/>
      <c r="C22" s="25"/>
      <c r="D22" s="26"/>
      <c r="E22" s="80"/>
      <c r="F22" s="54"/>
    </row>
    <row r="23" spans="2:6" x14ac:dyDescent="0.25">
      <c r="B23" s="48" t="s">
        <v>15</v>
      </c>
      <c r="C23" s="20">
        <f>'[1]resultado estimado'!$O$35</f>
        <v>635.81055600000002</v>
      </c>
      <c r="D23" s="57"/>
      <c r="E23" s="80"/>
      <c r="F23" s="54"/>
    </row>
    <row r="24" spans="2:6" x14ac:dyDescent="0.25">
      <c r="B24" s="55" t="s">
        <v>16</v>
      </c>
      <c r="C24" s="26">
        <f>'[3]FILETE DE PESCADO'!$C$21</f>
        <v>283.16468399999997</v>
      </c>
      <c r="D24" s="26">
        <f>C24/4</f>
        <v>70.791170999999991</v>
      </c>
      <c r="E24" s="80">
        <f>('[3]COSTILLA HORNO'!$C$18)/4</f>
        <v>57.833500000000001</v>
      </c>
      <c r="F24" s="54" t="s">
        <v>50</v>
      </c>
    </row>
    <row r="25" spans="2:6" x14ac:dyDescent="0.25">
      <c r="B25" s="55" t="s">
        <v>17</v>
      </c>
      <c r="C25" s="26">
        <f>[3]CORVINA!$C$22</f>
        <v>75.132288000000017</v>
      </c>
      <c r="D25" s="26">
        <f t="shared" ref="D25:D26" si="1">C25/4</f>
        <v>18.783072000000004</v>
      </c>
      <c r="E25" s="80">
        <f>[3]CORVINA!$E$21</f>
        <v>6.8302080000000016</v>
      </c>
      <c r="F25" s="54" t="s">
        <v>53</v>
      </c>
    </row>
    <row r="26" spans="2:6" x14ac:dyDescent="0.25">
      <c r="B26" s="55" t="s">
        <v>18</v>
      </c>
      <c r="C26" s="26">
        <f>[3]BACALAO!$C$21</f>
        <v>127.51358400000001</v>
      </c>
      <c r="D26" s="26">
        <f t="shared" si="1"/>
        <v>31.878396000000002</v>
      </c>
      <c r="E26" s="80">
        <f>[3]BACALAO!$E$20</f>
        <v>3.1284000000000005</v>
      </c>
      <c r="F26" s="54" t="s">
        <v>46</v>
      </c>
    </row>
    <row r="27" spans="2:6" x14ac:dyDescent="0.25">
      <c r="B27" s="55"/>
      <c r="C27" s="28"/>
      <c r="D27" s="26"/>
      <c r="E27" s="80"/>
      <c r="F27" s="54"/>
    </row>
    <row r="28" spans="2:6" x14ac:dyDescent="0.25">
      <c r="B28" s="48" t="s">
        <v>19</v>
      </c>
      <c r="C28" s="20">
        <f>'[1]resultado estimado'!$O$40</f>
        <v>4323.9313217709532</v>
      </c>
      <c r="D28" s="57"/>
      <c r="E28" s="80"/>
      <c r="F28" s="54"/>
    </row>
    <row r="29" spans="2:6" x14ac:dyDescent="0.25">
      <c r="B29" s="55" t="s">
        <v>20</v>
      </c>
      <c r="C29" s="26">
        <f>'[2]POLLO calculo'!$B$18</f>
        <v>4131.6058224107055</v>
      </c>
      <c r="D29" s="26">
        <f t="shared" ref="D29:D31" si="2">C29/4</f>
        <v>1032.9014556026764</v>
      </c>
      <c r="E29" s="80">
        <f>'[2]POLLO calculo'!$B$14</f>
        <v>32.729569136400002</v>
      </c>
      <c r="F29" s="54" t="s">
        <v>51</v>
      </c>
    </row>
    <row r="30" spans="2:6" x14ac:dyDescent="0.25">
      <c r="B30" s="55" t="s">
        <v>21</v>
      </c>
      <c r="C30" s="26">
        <f>'[2]FILETE DE PECHUGA'!$C$22</f>
        <v>90.54020457368722</v>
      </c>
      <c r="D30" s="26">
        <f t="shared" si="2"/>
        <v>22.635051143421805</v>
      </c>
      <c r="E30" s="80">
        <f>'[2]FILETE DE PECHUGA'!$E$21</f>
        <v>10.778595782581812</v>
      </c>
      <c r="F30" s="54" t="s">
        <v>53</v>
      </c>
    </row>
    <row r="31" spans="2:6" x14ac:dyDescent="0.25">
      <c r="B31" s="55" t="s">
        <v>22</v>
      </c>
      <c r="C31" s="26">
        <f>'[3]FILETE PECHUGA '!$C$22</f>
        <v>101.78529478656002</v>
      </c>
      <c r="D31" s="26">
        <f t="shared" si="2"/>
        <v>25.446323696640004</v>
      </c>
      <c r="E31" s="80">
        <f>'[3]FILETE PECHUGA '!$E$21</f>
        <v>12.117296998400001</v>
      </c>
      <c r="F31" s="54" t="s">
        <v>53</v>
      </c>
    </row>
    <row r="32" spans="2:6" x14ac:dyDescent="0.25">
      <c r="B32" s="55"/>
      <c r="C32" s="25"/>
      <c r="D32" s="26"/>
      <c r="E32" s="80"/>
      <c r="F32" s="54"/>
    </row>
    <row r="33" spans="2:6" x14ac:dyDescent="0.25">
      <c r="B33" s="55"/>
      <c r="C33" s="25"/>
      <c r="D33" s="26"/>
      <c r="E33" s="80"/>
      <c r="F33" s="54"/>
    </row>
    <row r="34" spans="2:6" x14ac:dyDescent="0.25">
      <c r="B34" s="48" t="s">
        <v>23</v>
      </c>
      <c r="C34" s="20">
        <f>'[1]resultado estimado'!$O$45</f>
        <v>1564.0176949812571</v>
      </c>
      <c r="D34" s="57"/>
      <c r="E34" s="80"/>
      <c r="F34" s="54"/>
    </row>
    <row r="35" spans="2:6" x14ac:dyDescent="0.25">
      <c r="B35" s="55" t="s">
        <v>24</v>
      </c>
      <c r="C35" s="26">
        <f>[4]resultado!N42</f>
        <v>287.5</v>
      </c>
      <c r="D35" s="26">
        <f>C35/4</f>
        <v>71.875</v>
      </c>
      <c r="E35" s="80">
        <f>[2]ARROZ!$E$18</f>
        <v>48.803722440421048</v>
      </c>
      <c r="F35" s="54" t="s">
        <v>50</v>
      </c>
    </row>
    <row r="36" spans="2:6" x14ac:dyDescent="0.25">
      <c r="B36" s="55" t="s">
        <v>25</v>
      </c>
      <c r="C36" s="26">
        <f>[4]resultado!N43</f>
        <v>222.75</v>
      </c>
      <c r="D36" s="26">
        <f t="shared" ref="D36:D45" si="3">C36/4</f>
        <v>55.6875</v>
      </c>
      <c r="E36" s="80">
        <f>[2]ARROZ!$D$18</f>
        <v>81.627094759843345</v>
      </c>
      <c r="F36" s="54" t="s">
        <v>50</v>
      </c>
    </row>
    <row r="37" spans="2:6" x14ac:dyDescent="0.25">
      <c r="B37" s="55" t="s">
        <v>26</v>
      </c>
      <c r="C37" s="26">
        <f>'[2]chorizo parrilla '!$C$21</f>
        <v>134.16826069554287</v>
      </c>
      <c r="D37" s="26">
        <f t="shared" si="3"/>
        <v>33.542065173885717</v>
      </c>
      <c r="E37" s="80">
        <f>'[2]chorizo parrilla '!$B$18</f>
        <v>49.430411835199997</v>
      </c>
      <c r="F37" s="54" t="s">
        <v>50</v>
      </c>
    </row>
    <row r="38" spans="2:6" x14ac:dyDescent="0.25">
      <c r="B38" s="55"/>
      <c r="C38" s="26">
        <f>[4]resultado!N45</f>
        <v>0</v>
      </c>
      <c r="D38" s="26">
        <f t="shared" si="3"/>
        <v>0</v>
      </c>
      <c r="E38" s="80"/>
      <c r="F38" s="54"/>
    </row>
    <row r="39" spans="2:6" x14ac:dyDescent="0.25">
      <c r="B39" s="55" t="s">
        <v>28</v>
      </c>
      <c r="C39" s="26">
        <f>[5]ALMOJABANO!$C$20</f>
        <v>5.9550000000000001</v>
      </c>
      <c r="D39" s="26">
        <f t="shared" si="3"/>
        <v>1.48875</v>
      </c>
      <c r="E39" s="80">
        <f>[5]ALMOJABANO!$B$18</f>
        <v>11.91</v>
      </c>
      <c r="F39" s="54" t="s">
        <v>50</v>
      </c>
    </row>
    <row r="40" spans="2:6" x14ac:dyDescent="0.25">
      <c r="B40" s="55" t="s">
        <v>29</v>
      </c>
      <c r="C40" s="26">
        <f>'[5]SALCHICHA GUI'!$C$22</f>
        <v>51.024819999999998</v>
      </c>
      <c r="D40" s="26">
        <f t="shared" si="3"/>
        <v>12.756205</v>
      </c>
      <c r="E40" s="80">
        <f>'[5]SALCHICHA GUI'!$E$21</f>
        <v>9.1115750000000002</v>
      </c>
      <c r="F40" s="54" t="s">
        <v>53</v>
      </c>
    </row>
    <row r="41" spans="2:6" x14ac:dyDescent="0.25">
      <c r="B41" s="55" t="s">
        <v>30</v>
      </c>
      <c r="C41" s="26">
        <f>[5]BOLLO!$C$20</f>
        <v>157.642</v>
      </c>
      <c r="D41" s="26">
        <f t="shared" si="3"/>
        <v>39.410499999999999</v>
      </c>
      <c r="E41" s="80">
        <f>[5]BOLLO!$B$18</f>
        <v>78.820999999999998</v>
      </c>
      <c r="F41" s="54" t="s">
        <v>50</v>
      </c>
    </row>
    <row r="42" spans="2:6" x14ac:dyDescent="0.25">
      <c r="B42" s="55" t="s">
        <v>31</v>
      </c>
      <c r="C42" s="26">
        <f>[5]CARIMAÑOLA!$C$20</f>
        <v>60.782559999999989</v>
      </c>
      <c r="D42" s="26">
        <f t="shared" si="3"/>
        <v>15.195639999999997</v>
      </c>
      <c r="E42" s="80">
        <f>[5]CARIMAÑOLA!$B$18</f>
        <v>36.615999999999993</v>
      </c>
      <c r="F42" s="54" t="s">
        <v>50</v>
      </c>
    </row>
    <row r="43" spans="2:6" x14ac:dyDescent="0.25">
      <c r="B43" s="55" t="s">
        <v>32</v>
      </c>
      <c r="C43" s="26">
        <f>[5]TORTILLA!$C$20</f>
        <v>52.402740000000009</v>
      </c>
      <c r="D43" s="26">
        <f t="shared" si="3"/>
        <v>13.100685000000002</v>
      </c>
      <c r="E43" s="80">
        <f>[5]TORTILLA!$B$19</f>
        <v>10.077450000000001</v>
      </c>
      <c r="F43" s="54" t="s">
        <v>157</v>
      </c>
    </row>
    <row r="44" spans="2:6" x14ac:dyDescent="0.25">
      <c r="B44" s="55" t="s">
        <v>33</v>
      </c>
      <c r="C44" s="26">
        <f>'[5]EMP DE MAIZ'!$C$20</f>
        <v>41.792314285714284</v>
      </c>
      <c r="D44" s="26">
        <f t="shared" si="3"/>
        <v>10.448078571428571</v>
      </c>
      <c r="E44" s="80">
        <f>'[5]EMP DE MAIZ'!$B$19</f>
        <v>6.1459285714285716</v>
      </c>
      <c r="F44" s="54" t="s">
        <v>157</v>
      </c>
    </row>
    <row r="45" spans="2:6" x14ac:dyDescent="0.25">
      <c r="B45" s="55" t="s">
        <v>154</v>
      </c>
      <c r="C45" s="26">
        <f>'[1]resultado estimado'!$N$56</f>
        <v>550</v>
      </c>
      <c r="D45" s="26">
        <f t="shared" si="3"/>
        <v>137.5</v>
      </c>
      <c r="E45" s="80"/>
      <c r="F45" s="54"/>
    </row>
    <row r="46" spans="2:6" x14ac:dyDescent="0.25">
      <c r="B46" s="55"/>
      <c r="C46" s="26"/>
      <c r="D46" s="26"/>
      <c r="E46" s="80"/>
      <c r="F46" s="54"/>
    </row>
    <row r="47" spans="2:6" x14ac:dyDescent="0.25">
      <c r="B47" s="55"/>
      <c r="C47" s="28"/>
      <c r="D47" s="26"/>
      <c r="E47" s="80"/>
      <c r="F47" s="54"/>
    </row>
    <row r="48" spans="2:6" x14ac:dyDescent="0.25">
      <c r="B48" s="48" t="s">
        <v>34</v>
      </c>
      <c r="C48" s="20">
        <f>'[1]resultado estimado'!$O$58</f>
        <v>2526.2252885286666</v>
      </c>
      <c r="D48" s="57"/>
      <c r="E48" s="80"/>
      <c r="F48" s="54"/>
    </row>
    <row r="49" spans="2:6" x14ac:dyDescent="0.25">
      <c r="B49" s="55" t="s">
        <v>35</v>
      </c>
      <c r="C49" s="26">
        <f>[2]SODAS!$B$21</f>
        <v>1826.2252885286666</v>
      </c>
      <c r="D49" s="26">
        <f t="shared" ref="D49:D67" si="4">C49/4</f>
        <v>456.55632213216666</v>
      </c>
      <c r="E49" s="80">
        <f>[2]SODAS!$C$18</f>
        <v>62.973285811333334</v>
      </c>
      <c r="F49" s="54" t="s">
        <v>114</v>
      </c>
    </row>
    <row r="50" spans="2:6" x14ac:dyDescent="0.25">
      <c r="B50" s="55" t="s">
        <v>75</v>
      </c>
      <c r="C50" s="26">
        <v>400</v>
      </c>
      <c r="D50" s="26">
        <f t="shared" si="4"/>
        <v>100</v>
      </c>
      <c r="E50" s="80"/>
      <c r="F50" s="54"/>
    </row>
    <row r="51" spans="2:6" x14ac:dyDescent="0.25">
      <c r="B51" s="55" t="s">
        <v>158</v>
      </c>
      <c r="C51" s="26">
        <v>300</v>
      </c>
      <c r="D51" s="26">
        <f t="shared" si="4"/>
        <v>75</v>
      </c>
      <c r="E51" s="80"/>
      <c r="F51" s="54"/>
    </row>
    <row r="52" spans="2:6" x14ac:dyDescent="0.25">
      <c r="B52" s="55"/>
      <c r="C52" s="28"/>
      <c r="D52" s="26"/>
      <c r="E52" s="80"/>
      <c r="F52" s="54"/>
    </row>
    <row r="53" spans="2:6" x14ac:dyDescent="0.25">
      <c r="B53" s="55"/>
      <c r="C53" s="28"/>
      <c r="D53" s="26"/>
      <c r="E53" s="80"/>
      <c r="F53" s="54"/>
    </row>
    <row r="54" spans="2:6" x14ac:dyDescent="0.25">
      <c r="B54" s="48" t="s">
        <v>155</v>
      </c>
      <c r="C54" s="20">
        <f>'[1]resultado estimado'!$O$62</f>
        <v>950</v>
      </c>
      <c r="D54" s="26">
        <f t="shared" si="4"/>
        <v>237.5</v>
      </c>
      <c r="E54" s="80"/>
      <c r="F54" s="54"/>
    </row>
    <row r="55" spans="2:6" x14ac:dyDescent="0.25">
      <c r="B55" s="48"/>
      <c r="C55" s="20"/>
      <c r="D55" s="26"/>
      <c r="E55" s="80"/>
      <c r="F55" s="54"/>
    </row>
    <row r="56" spans="2:6" x14ac:dyDescent="0.25">
      <c r="B56" s="48"/>
      <c r="C56" s="20"/>
      <c r="D56" s="26"/>
      <c r="E56" s="80"/>
      <c r="F56" s="54"/>
    </row>
    <row r="57" spans="2:6" x14ac:dyDescent="0.25">
      <c r="B57" s="48" t="s">
        <v>37</v>
      </c>
      <c r="C57" s="20">
        <f>'[1]resultado estimado'!$O$63</f>
        <v>3546.8975534787924</v>
      </c>
      <c r="D57" s="57"/>
      <c r="E57" s="80"/>
      <c r="F57" s="54"/>
    </row>
    <row r="58" spans="2:6" x14ac:dyDescent="0.25">
      <c r="B58" s="55" t="s">
        <v>38</v>
      </c>
      <c r="C58" s="26">
        <f>'[1]resultado estimado'!$N$64</f>
        <v>922.40603808326387</v>
      </c>
      <c r="D58" s="26">
        <f t="shared" si="4"/>
        <v>230.60150952081597</v>
      </c>
      <c r="E58" s="80">
        <f>[2]ARROZ!$B$18</f>
        <v>72.74495568479999</v>
      </c>
      <c r="F58" s="54" t="s">
        <v>51</v>
      </c>
    </row>
    <row r="59" spans="2:6" x14ac:dyDescent="0.25">
      <c r="B59" s="55" t="s">
        <v>39</v>
      </c>
      <c r="C59" s="26">
        <f>'[1]resultado estimado'!$N$65</f>
        <v>335.81107742382073</v>
      </c>
      <c r="D59" s="26">
        <f t="shared" si="4"/>
        <v>83.952769355955184</v>
      </c>
      <c r="E59" s="80">
        <f>[2]CHIMICHURRI!$B$18</f>
        <v>27.984256451985061</v>
      </c>
      <c r="F59" s="54" t="s">
        <v>160</v>
      </c>
    </row>
    <row r="60" spans="2:6" x14ac:dyDescent="0.25">
      <c r="B60" s="55" t="s">
        <v>40</v>
      </c>
      <c r="C60" s="26">
        <f>'[1]resultado estimado'!$N$66</f>
        <v>286.34869827170741</v>
      </c>
      <c r="D60" s="26">
        <f t="shared" si="4"/>
        <v>71.587174567926851</v>
      </c>
      <c r="E60" s="80">
        <f>[2]PATACONES!$C$18</f>
        <v>298.27989403302854</v>
      </c>
      <c r="F60" s="54" t="s">
        <v>50</v>
      </c>
    </row>
    <row r="61" spans="2:6" x14ac:dyDescent="0.25">
      <c r="B61" s="55" t="s">
        <v>41</v>
      </c>
      <c r="C61" s="26">
        <f>'[1]resultado estimado'!$N$68</f>
        <v>1205.9450480000003</v>
      </c>
      <c r="D61" s="26">
        <f t="shared" si="4"/>
        <v>301.48626200000007</v>
      </c>
      <c r="E61" s="80">
        <f>[2]papitas!$D$22</f>
        <v>22.168107500000005</v>
      </c>
      <c r="F61" s="54" t="s">
        <v>114</v>
      </c>
    </row>
    <row r="62" spans="2:6" x14ac:dyDescent="0.25">
      <c r="B62" s="55" t="s">
        <v>159</v>
      </c>
      <c r="C62" s="25">
        <f>'[1]resultado estimado'!$N$67</f>
        <v>296.38669169999997</v>
      </c>
      <c r="D62" s="26">
        <f t="shared" si="4"/>
        <v>74.096672924999993</v>
      </c>
      <c r="E62" s="80">
        <f>[2]yuca!$E$20</f>
        <v>29.287222499999999</v>
      </c>
      <c r="F62" s="54" t="s">
        <v>46</v>
      </c>
    </row>
    <row r="63" spans="2:6" x14ac:dyDescent="0.25">
      <c r="B63" s="55" t="s">
        <v>161</v>
      </c>
      <c r="C63" s="25">
        <f>'[1]resultado estimado'!$N$69</f>
        <v>500</v>
      </c>
      <c r="D63" s="26">
        <f t="shared" si="4"/>
        <v>125</v>
      </c>
      <c r="E63" s="80"/>
      <c r="F63" s="54"/>
    </row>
    <row r="64" spans="2:6" x14ac:dyDescent="0.25">
      <c r="B64" s="55"/>
      <c r="C64" s="28"/>
      <c r="D64" s="26"/>
      <c r="E64" s="80"/>
      <c r="F64" s="54"/>
    </row>
    <row r="65" spans="2:6" x14ac:dyDescent="0.25">
      <c r="B65" s="55" t="s">
        <v>42</v>
      </c>
      <c r="C65" s="20">
        <f>'[1]resultado estimado'!$O$71</f>
        <v>2150</v>
      </c>
      <c r="D65" s="26">
        <f t="shared" si="4"/>
        <v>537.5</v>
      </c>
      <c r="E65" s="80"/>
      <c r="F65" s="54"/>
    </row>
    <row r="66" spans="2:6" x14ac:dyDescent="0.25">
      <c r="B66" s="55"/>
      <c r="C66" s="64"/>
      <c r="D66" s="26"/>
      <c r="E66" s="65"/>
      <c r="F66" s="54"/>
    </row>
    <row r="67" spans="2:6" ht="15.75" thickBot="1" x14ac:dyDescent="0.3">
      <c r="B67" s="58" t="s">
        <v>115</v>
      </c>
      <c r="C67" s="60">
        <f>SUM(C65+C57+C54+C48+C34+C28+C23+C5)</f>
        <v>20262.061999189555</v>
      </c>
      <c r="D67" s="63">
        <f t="shared" si="4"/>
        <v>5065.5154997973887</v>
      </c>
      <c r="E67" s="61"/>
      <c r="F67" s="62"/>
    </row>
  </sheetData>
  <pageMargins left="0.7" right="0.7" top="0.75" bottom="0.75" header="0.3" footer="0.3"/>
  <pageSetup scale="77" fitToWidth="0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76"/>
  <sheetViews>
    <sheetView topLeftCell="B16" zoomScale="130" zoomScaleNormal="130" workbookViewId="0">
      <selection activeCell="B29" sqref="A29:XFD29"/>
    </sheetView>
  </sheetViews>
  <sheetFormatPr baseColWidth="10" defaultRowHeight="15" x14ac:dyDescent="0.25"/>
  <cols>
    <col min="2" max="2" width="42.140625" bestFit="1" customWidth="1"/>
    <col min="3" max="3" width="12.85546875" hidden="1" customWidth="1"/>
    <col min="4" max="4" width="13.85546875" bestFit="1" customWidth="1"/>
    <col min="5" max="5" width="14" bestFit="1" customWidth="1"/>
    <col min="6" max="6" width="12.85546875" style="4" bestFit="1" customWidth="1"/>
    <col min="7" max="7" width="7.140625" style="4" bestFit="1" customWidth="1"/>
  </cols>
  <sheetData>
    <row r="2" spans="2:10" ht="15.75" thickBot="1" x14ac:dyDescent="0.3"/>
    <row r="3" spans="2:10" x14ac:dyDescent="0.25">
      <c r="B3" s="43" t="s">
        <v>132</v>
      </c>
      <c r="C3" s="44" t="s">
        <v>49</v>
      </c>
      <c r="D3" s="44" t="s">
        <v>49</v>
      </c>
      <c r="E3" s="45"/>
      <c r="F3" s="46" t="s">
        <v>44</v>
      </c>
      <c r="G3" s="47"/>
      <c r="H3" s="67" t="s">
        <v>137</v>
      </c>
      <c r="I3" s="68"/>
    </row>
    <row r="4" spans="2:10" x14ac:dyDescent="0.25">
      <c r="B4" s="48"/>
      <c r="C4" s="49" t="s">
        <v>47</v>
      </c>
      <c r="D4" s="49" t="s">
        <v>47</v>
      </c>
      <c r="E4" s="50" t="s">
        <v>48</v>
      </c>
      <c r="F4" s="50" t="s">
        <v>48</v>
      </c>
      <c r="G4" s="51" t="s">
        <v>113</v>
      </c>
      <c r="H4" s="69" t="s">
        <v>48</v>
      </c>
      <c r="I4" s="51" t="s">
        <v>138</v>
      </c>
    </row>
    <row r="5" spans="2:10" x14ac:dyDescent="0.25">
      <c r="B5" s="48" t="s">
        <v>0</v>
      </c>
      <c r="C5" s="20">
        <f>SUM(C6:C20)</f>
        <v>3707.10102598</v>
      </c>
      <c r="D5" s="20">
        <f>insumos!C5:C65</f>
        <v>4565.1795844298849</v>
      </c>
      <c r="E5" s="52"/>
      <c r="F5" s="53"/>
      <c r="G5" s="54"/>
      <c r="H5" s="70"/>
      <c r="I5" s="71"/>
    </row>
    <row r="6" spans="2:10" x14ac:dyDescent="0.25">
      <c r="B6" s="55" t="s">
        <v>1</v>
      </c>
      <c r="C6" s="25">
        <f>[6]CHULETAS!$C$21</f>
        <v>947.41346999999996</v>
      </c>
      <c r="D6" s="26">
        <f>insumos!C6:C66</f>
        <v>1404.5338163609517</v>
      </c>
      <c r="E6" s="26">
        <f>D6/4</f>
        <v>351.13345409023793</v>
      </c>
      <c r="F6" s="80">
        <f>insumos!E6</f>
        <v>270.26897636255995</v>
      </c>
      <c r="G6" s="56" t="s">
        <v>50</v>
      </c>
      <c r="H6" s="72">
        <v>265</v>
      </c>
      <c r="I6" s="73">
        <f>F6-H6</f>
        <v>5.2689763625599539</v>
      </c>
      <c r="J6" t="s">
        <v>164</v>
      </c>
    </row>
    <row r="7" spans="2:10" x14ac:dyDescent="0.25">
      <c r="B7" s="55" t="s">
        <v>2</v>
      </c>
      <c r="C7" s="25">
        <f>[6]CHURRASCO!$C$20</f>
        <v>400.19216160000002</v>
      </c>
      <c r="D7" s="26">
        <f>insumos!C7:C67</f>
        <v>285.96554460046718</v>
      </c>
      <c r="E7" s="26">
        <f t="shared" ref="E7:E20" si="0">D7/4</f>
        <v>71.491386150116796</v>
      </c>
      <c r="F7" s="80">
        <f>insumos!E7</f>
        <v>18.953177664399998</v>
      </c>
      <c r="G7" s="56" t="s">
        <v>50</v>
      </c>
      <c r="H7" s="72">
        <v>29</v>
      </c>
      <c r="I7" s="73">
        <f>H7-F7</f>
        <v>10.046822335600002</v>
      </c>
      <c r="J7" t="s">
        <v>166</v>
      </c>
    </row>
    <row r="8" spans="2:10" x14ac:dyDescent="0.25">
      <c r="B8" s="55" t="s">
        <v>168</v>
      </c>
      <c r="C8" s="25">
        <f>'[6]COSTILLAS ASADAS'!$C$21</f>
        <v>309.17718719999999</v>
      </c>
      <c r="D8" s="26">
        <f>insumos!C8:C68</f>
        <v>391.36151984232163</v>
      </c>
      <c r="E8" s="26">
        <f t="shared" si="0"/>
        <v>97.840379960580407</v>
      </c>
      <c r="F8" s="80">
        <f>insumos!E8</f>
        <v>78.378003145142387</v>
      </c>
      <c r="G8" s="54" t="s">
        <v>46</v>
      </c>
      <c r="H8" s="74"/>
      <c r="I8" s="73">
        <f t="shared" ref="I8:I31" si="1">F8-H8</f>
        <v>78.378003145142387</v>
      </c>
      <c r="J8" t="s">
        <v>165</v>
      </c>
    </row>
    <row r="9" spans="2:10" x14ac:dyDescent="0.25">
      <c r="B9" s="55" t="s">
        <v>3</v>
      </c>
      <c r="C9" s="25">
        <f>'[6]FILETE DE RES '!$C$21</f>
        <v>67.766017500000004</v>
      </c>
      <c r="D9" s="26">
        <f>insumos!C9:C69</f>
        <v>405.24573992614393</v>
      </c>
      <c r="E9" s="26">
        <f t="shared" si="0"/>
        <v>101.31143498153598</v>
      </c>
      <c r="F9" s="80">
        <f>insumos!E9</f>
        <v>11.269347606399998</v>
      </c>
      <c r="G9" s="54" t="s">
        <v>46</v>
      </c>
      <c r="H9" s="74"/>
      <c r="I9" s="73">
        <f t="shared" si="1"/>
        <v>11.269347606399998</v>
      </c>
      <c r="J9" t="s">
        <v>164</v>
      </c>
    </row>
    <row r="10" spans="2:10" x14ac:dyDescent="0.25">
      <c r="B10" s="55" t="s">
        <v>4</v>
      </c>
      <c r="C10" s="25">
        <f>[6]RINCON!$C$21</f>
        <v>160.321316</v>
      </c>
      <c r="D10" s="26">
        <f>insumos!C10:C70</f>
        <v>0</v>
      </c>
      <c r="E10" s="26">
        <f t="shared" si="0"/>
        <v>0</v>
      </c>
      <c r="F10" s="80">
        <f>insumos!E10</f>
        <v>0</v>
      </c>
      <c r="G10" s="54" t="s">
        <v>46</v>
      </c>
      <c r="H10" s="74"/>
      <c r="I10" s="73">
        <f t="shared" si="1"/>
        <v>0</v>
      </c>
    </row>
    <row r="11" spans="2:10" x14ac:dyDescent="0.25">
      <c r="B11" s="55" t="s">
        <v>5</v>
      </c>
      <c r="C11" s="25">
        <f>[7]LOMO!$C$21</f>
        <v>175.29173999999998</v>
      </c>
      <c r="D11" s="26">
        <f>insumos!C11:C71</f>
        <v>236.51471999999998</v>
      </c>
      <c r="E11" s="26">
        <f t="shared" si="0"/>
        <v>59.128679999999996</v>
      </c>
      <c r="F11" s="80">
        <f>insumos!E11</f>
        <v>9.0967199999999995</v>
      </c>
      <c r="G11" s="54" t="s">
        <v>46</v>
      </c>
      <c r="H11" s="74"/>
      <c r="I11" s="73">
        <f t="shared" si="1"/>
        <v>9.0967199999999995</v>
      </c>
      <c r="J11" t="s">
        <v>164</v>
      </c>
    </row>
    <row r="12" spans="2:10" x14ac:dyDescent="0.25">
      <c r="B12" s="55" t="s">
        <v>6</v>
      </c>
      <c r="C12" s="25">
        <f>[7]LENGUA!$C$21</f>
        <v>210.64190400000001</v>
      </c>
      <c r="D12" s="26">
        <f>insumos!C12:C72</f>
        <v>184.98886559999997</v>
      </c>
      <c r="E12" s="26">
        <f t="shared" si="0"/>
        <v>46.247216399999992</v>
      </c>
      <c r="F12" s="80">
        <f>insumos!E12</f>
        <v>5.460119999999999</v>
      </c>
      <c r="G12" s="54" t="s">
        <v>46</v>
      </c>
      <c r="H12" s="74"/>
      <c r="I12" s="73"/>
      <c r="J12" t="s">
        <v>167</v>
      </c>
    </row>
    <row r="13" spans="2:10" x14ac:dyDescent="0.25">
      <c r="B13" s="55" t="s">
        <v>7</v>
      </c>
      <c r="C13" s="25">
        <f>'[7]COSTILLA HORNO'!$C$21</f>
        <v>658.25916000000007</v>
      </c>
      <c r="D13" s="26">
        <f>insumos!C13:C73</f>
        <v>390.35299160000005</v>
      </c>
      <c r="E13" s="26">
        <f t="shared" si="0"/>
        <v>97.588247900000013</v>
      </c>
      <c r="F13" s="80">
        <f>insumos!E13</f>
        <v>15.036710000000001</v>
      </c>
      <c r="G13" s="54" t="s">
        <v>46</v>
      </c>
      <c r="H13" s="74"/>
      <c r="I13" s="73">
        <f t="shared" si="1"/>
        <v>15.036710000000001</v>
      </c>
    </row>
    <row r="14" spans="2:10" x14ac:dyDescent="0.25">
      <c r="B14" s="55" t="s">
        <v>8</v>
      </c>
      <c r="C14" s="25">
        <f>'[7]BISTEC PICADO'!$C$21</f>
        <v>227.7780735</v>
      </c>
      <c r="D14" s="26">
        <f>insumos!C14:C74</f>
        <v>253.56175200000004</v>
      </c>
      <c r="E14" s="26">
        <f t="shared" si="0"/>
        <v>63.39043800000001</v>
      </c>
      <c r="F14" s="80">
        <f>insumos!E14</f>
        <v>8.8042275000000014</v>
      </c>
      <c r="G14" s="54" t="s">
        <v>46</v>
      </c>
      <c r="H14" s="74"/>
      <c r="I14" s="73">
        <f t="shared" si="1"/>
        <v>8.8042275000000014</v>
      </c>
      <c r="J14" t="s">
        <v>164</v>
      </c>
    </row>
    <row r="15" spans="2:10" x14ac:dyDescent="0.25">
      <c r="B15" s="55" t="s">
        <v>9</v>
      </c>
      <c r="C15" s="25">
        <f>'[7]CARNE GUISADA'!$C$21</f>
        <v>111.69696999999998</v>
      </c>
      <c r="D15" s="26">
        <f>insumos!C15:C75</f>
        <v>155.53525750000003</v>
      </c>
      <c r="E15" s="26">
        <f t="shared" si="0"/>
        <v>38.883814375000007</v>
      </c>
      <c r="F15" s="80">
        <f>insumos!E15</f>
        <v>6.7624025000000012</v>
      </c>
      <c r="G15" s="54" t="s">
        <v>46</v>
      </c>
      <c r="H15" s="74"/>
      <c r="I15" s="73">
        <f t="shared" si="1"/>
        <v>6.7624025000000012</v>
      </c>
      <c r="J15" t="s">
        <v>164</v>
      </c>
    </row>
    <row r="16" spans="2:10" x14ac:dyDescent="0.25">
      <c r="B16" s="55" t="s">
        <v>10</v>
      </c>
      <c r="C16" s="25">
        <f>[7]MONDONGO!$C$21</f>
        <v>52.612893299999996</v>
      </c>
      <c r="D16" s="26">
        <f>insumos!C16:C76</f>
        <v>47.804303999999995</v>
      </c>
      <c r="E16" s="26">
        <f t="shared" si="0"/>
        <v>11.951075999999999</v>
      </c>
      <c r="F16" s="80">
        <f>insumos!E16</f>
        <v>4.9796149999999999</v>
      </c>
      <c r="G16" s="54" t="s">
        <v>46</v>
      </c>
      <c r="H16" s="74"/>
      <c r="I16" s="73">
        <f t="shared" si="1"/>
        <v>4.9796149999999999</v>
      </c>
      <c r="J16" t="s">
        <v>164</v>
      </c>
    </row>
    <row r="17" spans="2:10" x14ac:dyDescent="0.25">
      <c r="B17" s="55" t="s">
        <v>11</v>
      </c>
      <c r="C17" s="25">
        <f>'[7]GUACHO DE RABITO'!$C$22</f>
        <v>150.62298327999997</v>
      </c>
      <c r="D17" s="26">
        <f>insumos!C17:C77</f>
        <v>0</v>
      </c>
      <c r="E17" s="26">
        <f t="shared" si="0"/>
        <v>0</v>
      </c>
      <c r="F17" s="80">
        <f>insumos!E17</f>
        <v>0</v>
      </c>
      <c r="G17" s="54" t="s">
        <v>46</v>
      </c>
      <c r="H17" s="74"/>
      <c r="I17" s="73">
        <f t="shared" si="1"/>
        <v>0</v>
      </c>
    </row>
    <row r="18" spans="2:10" x14ac:dyDescent="0.25">
      <c r="B18" s="55" t="s">
        <v>169</v>
      </c>
      <c r="C18" s="25">
        <f>'[8]COSTILLA FRITA'!$C$21</f>
        <v>81.709800000000001</v>
      </c>
      <c r="D18" s="26">
        <f>insumos!C18:C78</f>
        <v>226.64542080000004</v>
      </c>
      <c r="E18" s="26">
        <f t="shared" si="0"/>
        <v>56.66135520000001</v>
      </c>
      <c r="F18" s="80">
        <f>insumos!E18</f>
        <v>7.9025600000000011</v>
      </c>
      <c r="G18" s="54" t="s">
        <v>46</v>
      </c>
      <c r="H18" s="74"/>
      <c r="I18" s="73">
        <f t="shared" si="1"/>
        <v>7.9025600000000011</v>
      </c>
    </row>
    <row r="19" spans="2:10" x14ac:dyDescent="0.25">
      <c r="B19" s="55" t="s">
        <v>13</v>
      </c>
      <c r="C19" s="25">
        <f>[8]HIGADO!$C$21</f>
        <v>54.761849999999995</v>
      </c>
      <c r="D19" s="26">
        <f>insumos!C19:C79</f>
        <v>78.967625000000012</v>
      </c>
      <c r="E19" s="26">
        <f t="shared" si="0"/>
        <v>19.741906250000003</v>
      </c>
      <c r="F19" s="80">
        <f>insumos!E19</f>
        <v>18.18181818181818</v>
      </c>
      <c r="G19" s="54" t="s">
        <v>46</v>
      </c>
      <c r="H19" s="74"/>
      <c r="I19" s="73">
        <f t="shared" si="1"/>
        <v>18.18181818181818</v>
      </c>
    </row>
    <row r="20" spans="2:10" x14ac:dyDescent="0.25">
      <c r="B20" s="55" t="s">
        <v>14</v>
      </c>
      <c r="C20" s="25">
        <f>[8]BOFE!$C$21</f>
        <v>98.855499600000016</v>
      </c>
      <c r="D20" s="26">
        <f>insumos!C20:C80</f>
        <v>193.70202719999997</v>
      </c>
      <c r="E20" s="26">
        <f t="shared" si="0"/>
        <v>48.425506799999994</v>
      </c>
      <c r="F20" s="80">
        <f>insumos!E20</f>
        <v>13.340359999999999</v>
      </c>
      <c r="G20" s="54" t="s">
        <v>46</v>
      </c>
      <c r="H20" s="75"/>
      <c r="I20" s="76">
        <f t="shared" si="1"/>
        <v>13.340359999999999</v>
      </c>
    </row>
    <row r="21" spans="2:10" x14ac:dyDescent="0.25">
      <c r="B21" s="55" t="s">
        <v>153</v>
      </c>
      <c r="C21" s="25"/>
      <c r="D21" s="26">
        <f>insumos!C21:C81</f>
        <v>310</v>
      </c>
      <c r="E21" s="26">
        <f t="shared" ref="E21" si="2">D21/4</f>
        <v>77.5</v>
      </c>
      <c r="F21" s="80">
        <f>insumos!E21</f>
        <v>0</v>
      </c>
      <c r="G21" s="54" t="s">
        <v>46</v>
      </c>
      <c r="H21" s="75"/>
      <c r="I21" s="76">
        <f t="shared" si="1"/>
        <v>0</v>
      </c>
      <c r="J21" t="s">
        <v>164</v>
      </c>
    </row>
    <row r="22" spans="2:10" x14ac:dyDescent="0.25">
      <c r="B22" s="55"/>
      <c r="C22" s="25"/>
      <c r="D22" s="20"/>
      <c r="E22" s="26"/>
      <c r="F22" s="80"/>
      <c r="G22" s="54"/>
      <c r="H22" s="74"/>
      <c r="I22" s="73"/>
    </row>
    <row r="23" spans="2:10" x14ac:dyDescent="0.25">
      <c r="B23" s="48" t="s">
        <v>15</v>
      </c>
      <c r="C23" s="20">
        <f>SUM(C24:C26)</f>
        <v>333.25042680000001</v>
      </c>
      <c r="D23" s="20">
        <f>insumos!C23:C82</f>
        <v>635.81055600000002</v>
      </c>
      <c r="E23" s="57"/>
      <c r="F23" s="80"/>
      <c r="G23" s="54"/>
      <c r="H23" s="74"/>
      <c r="I23" s="73"/>
    </row>
    <row r="24" spans="2:10" x14ac:dyDescent="0.25">
      <c r="B24" s="55" t="s">
        <v>16</v>
      </c>
      <c r="C24" s="25">
        <f>'[7]FILETE DE PESCADO'!$C$21</f>
        <v>207.06273000000004</v>
      </c>
      <c r="D24" s="26">
        <f>insumos!C24:C83</f>
        <v>283.16468399999997</v>
      </c>
      <c r="E24" s="26">
        <f>D24/4</f>
        <v>70.791170999999991</v>
      </c>
      <c r="F24" s="80">
        <f>insumos!E24</f>
        <v>57.833500000000001</v>
      </c>
      <c r="G24" s="54" t="s">
        <v>50</v>
      </c>
      <c r="H24" s="74"/>
      <c r="I24" s="73">
        <f t="shared" si="1"/>
        <v>57.833500000000001</v>
      </c>
      <c r="J24" t="s">
        <v>164</v>
      </c>
    </row>
    <row r="25" spans="2:10" x14ac:dyDescent="0.25">
      <c r="B25" s="55" t="s">
        <v>17</v>
      </c>
      <c r="C25" s="25">
        <f>[7]CORVINA!$C$22</f>
        <v>57.407724000000002</v>
      </c>
      <c r="D25" s="26">
        <f>insumos!C25:C84</f>
        <v>75.132288000000017</v>
      </c>
      <c r="E25" s="26">
        <f t="shared" ref="E25:E26" si="3">D25/4</f>
        <v>18.783072000000004</v>
      </c>
      <c r="F25" s="80">
        <f>insumos!E25</f>
        <v>6.8302080000000016</v>
      </c>
      <c r="G25" s="54" t="s">
        <v>53</v>
      </c>
      <c r="H25" s="74"/>
      <c r="I25" s="73">
        <f t="shared" si="1"/>
        <v>6.8302080000000016</v>
      </c>
    </row>
    <row r="26" spans="2:10" x14ac:dyDescent="0.25">
      <c r="B26" s="55" t="s">
        <v>18</v>
      </c>
      <c r="C26" s="25">
        <f>[7]BACALAO!$C$21</f>
        <v>68.779972799999996</v>
      </c>
      <c r="D26" s="26">
        <f>insumos!C26:C85</f>
        <v>127.51358400000001</v>
      </c>
      <c r="E26" s="26">
        <f t="shared" si="3"/>
        <v>31.878396000000002</v>
      </c>
      <c r="F26" s="80">
        <f>insumos!E26</f>
        <v>3.1284000000000005</v>
      </c>
      <c r="G26" s="54" t="s">
        <v>46</v>
      </c>
      <c r="H26" s="74"/>
      <c r="I26" s="73">
        <f t="shared" si="1"/>
        <v>3.1284000000000005</v>
      </c>
    </row>
    <row r="27" spans="2:10" x14ac:dyDescent="0.25">
      <c r="B27" s="55"/>
      <c r="C27" s="28"/>
      <c r="D27" s="20"/>
      <c r="E27" s="26"/>
      <c r="F27" s="80"/>
      <c r="G27" s="54"/>
      <c r="H27" s="74"/>
      <c r="I27" s="73"/>
    </row>
    <row r="28" spans="2:10" x14ac:dyDescent="0.25">
      <c r="B28" s="48" t="s">
        <v>19</v>
      </c>
      <c r="C28" s="20">
        <f>SUM(C29:C31)</f>
        <v>4187.8105774179394</v>
      </c>
      <c r="D28" s="20">
        <f>insumos!C28:C87</f>
        <v>4323.9313217709532</v>
      </c>
      <c r="E28" s="57"/>
      <c r="F28" s="80"/>
      <c r="G28" s="54"/>
      <c r="H28" s="74"/>
      <c r="I28" s="73"/>
    </row>
    <row r="29" spans="2:10" x14ac:dyDescent="0.25">
      <c r="B29" s="55" t="s">
        <v>20</v>
      </c>
      <c r="C29" s="25">
        <f>'[6]POLLO calculo'!$B$17</f>
        <v>3915.909971313999</v>
      </c>
      <c r="D29" s="26">
        <f>insumos!C29:C88</f>
        <v>4131.6058224107055</v>
      </c>
      <c r="E29" s="26">
        <f t="shared" ref="E29:E31" si="4">D29/4</f>
        <v>1032.9014556026764</v>
      </c>
      <c r="F29" s="80">
        <f>insumos!E29</f>
        <v>32.729569136400002</v>
      </c>
      <c r="G29" s="54" t="s">
        <v>51</v>
      </c>
      <c r="H29" s="74"/>
      <c r="I29" s="73">
        <f t="shared" si="1"/>
        <v>32.729569136400002</v>
      </c>
      <c r="J29" t="s">
        <v>164</v>
      </c>
    </row>
    <row r="30" spans="2:10" x14ac:dyDescent="0.25">
      <c r="B30" s="55" t="s">
        <v>21</v>
      </c>
      <c r="C30" s="25">
        <f>'[6]FILETE DE PECHUGA'!$C$22</f>
        <v>82.883894827139983</v>
      </c>
      <c r="D30" s="26">
        <f>insumos!C30:C89</f>
        <v>90.54020457368722</v>
      </c>
      <c r="E30" s="26">
        <f t="shared" si="4"/>
        <v>22.635051143421805</v>
      </c>
      <c r="F30" s="80">
        <f>insumos!E30</f>
        <v>10.778595782581812</v>
      </c>
      <c r="G30" s="54" t="s">
        <v>53</v>
      </c>
      <c r="H30" s="74"/>
      <c r="I30" s="73">
        <f t="shared" si="1"/>
        <v>10.778595782581812</v>
      </c>
      <c r="J30" t="s">
        <v>164</v>
      </c>
    </row>
    <row r="31" spans="2:10" x14ac:dyDescent="0.25">
      <c r="B31" s="55" t="s">
        <v>22</v>
      </c>
      <c r="C31" s="25">
        <f>'[7]FILETE PECHUGA '!$C$22</f>
        <v>189.01671127679995</v>
      </c>
      <c r="D31" s="26">
        <f>insumos!C31:C90</f>
        <v>101.78529478656002</v>
      </c>
      <c r="E31" s="26">
        <f t="shared" si="4"/>
        <v>25.446323696640004</v>
      </c>
      <c r="F31" s="80">
        <f>insumos!E31</f>
        <v>12.117296998400001</v>
      </c>
      <c r="G31" s="54" t="s">
        <v>53</v>
      </c>
      <c r="H31" s="74"/>
      <c r="I31" s="73">
        <f t="shared" si="1"/>
        <v>12.117296998400001</v>
      </c>
      <c r="J31" t="s">
        <v>164</v>
      </c>
    </row>
    <row r="32" spans="2:10" x14ac:dyDescent="0.25">
      <c r="B32" s="55"/>
      <c r="C32" s="25"/>
      <c r="D32" s="20"/>
      <c r="E32" s="26"/>
      <c r="F32" s="80"/>
      <c r="G32" s="54"/>
      <c r="H32" s="74"/>
      <c r="I32" s="77"/>
    </row>
    <row r="33" spans="2:10" x14ac:dyDescent="0.25">
      <c r="B33" s="55"/>
      <c r="C33" s="25"/>
      <c r="D33" s="20"/>
      <c r="E33" s="26"/>
      <c r="F33" s="80"/>
      <c r="G33" s="54"/>
      <c r="H33" s="74"/>
      <c r="I33" s="77"/>
    </row>
    <row r="34" spans="2:10" x14ac:dyDescent="0.25">
      <c r="B34" s="48" t="s">
        <v>23</v>
      </c>
      <c r="C34" s="20">
        <f>SUM(C35:C44)+1194</f>
        <v>2172.0410919999999</v>
      </c>
      <c r="D34" s="20">
        <f>insumos!C34:C93</f>
        <v>1564.0176949812571</v>
      </c>
      <c r="E34" s="57"/>
      <c r="F34" s="80"/>
      <c r="G34" s="54"/>
      <c r="H34" s="74"/>
      <c r="I34" s="77"/>
    </row>
    <row r="35" spans="2:10" x14ac:dyDescent="0.25">
      <c r="B35" s="55" t="s">
        <v>24</v>
      </c>
      <c r="C35" s="25">
        <f>[6]ARROZ!$E$21</f>
        <v>276</v>
      </c>
      <c r="D35" s="26">
        <f>insumos!C35:C94</f>
        <v>287.5</v>
      </c>
      <c r="E35" s="26">
        <f>D35/4</f>
        <v>71.875</v>
      </c>
      <c r="F35" s="80">
        <f>insumos!E35</f>
        <v>48.803722440421048</v>
      </c>
      <c r="G35" s="54" t="s">
        <v>50</v>
      </c>
      <c r="H35" s="74"/>
      <c r="I35" s="77"/>
      <c r="J35" t="s">
        <v>164</v>
      </c>
    </row>
    <row r="36" spans="2:10" x14ac:dyDescent="0.25">
      <c r="B36" s="55" t="s">
        <v>25</v>
      </c>
      <c r="C36" s="25">
        <f>[6]ARROZ!$D$21</f>
        <v>198.71999999999997</v>
      </c>
      <c r="D36" s="26">
        <f>insumos!C36:C95</f>
        <v>222.75</v>
      </c>
      <c r="E36" s="26">
        <f t="shared" ref="E36:E44" si="5">D36/4</f>
        <v>55.6875</v>
      </c>
      <c r="F36" s="80">
        <f>insumos!E36</f>
        <v>81.627094759843345</v>
      </c>
      <c r="G36" s="54" t="s">
        <v>50</v>
      </c>
      <c r="H36" s="74"/>
      <c r="I36" s="77"/>
      <c r="J36" t="s">
        <v>164</v>
      </c>
    </row>
    <row r="37" spans="2:10" x14ac:dyDescent="0.25">
      <c r="B37" s="55" t="s">
        <v>26</v>
      </c>
      <c r="C37" s="25">
        <f>'[6]chorizo parrilla '!$C$21</f>
        <v>105.48208</v>
      </c>
      <c r="D37" s="26">
        <f>insumos!C37:C96</f>
        <v>134.16826069554287</v>
      </c>
      <c r="E37" s="26">
        <f t="shared" si="5"/>
        <v>33.542065173885717</v>
      </c>
      <c r="F37" s="80">
        <f>insumos!E37</f>
        <v>49.430411835199997</v>
      </c>
      <c r="G37" s="54" t="s">
        <v>50</v>
      </c>
      <c r="H37" s="74"/>
      <c r="I37" s="77"/>
      <c r="J37" t="s">
        <v>164</v>
      </c>
    </row>
    <row r="38" spans="2:10" x14ac:dyDescent="0.25">
      <c r="B38" s="55" t="s">
        <v>27</v>
      </c>
      <c r="C38" s="25">
        <f>'[8]CHORIZO TABLEÑO'!$C$20</f>
        <v>15.18</v>
      </c>
      <c r="D38" s="26">
        <f>insumos!C38:C97</f>
        <v>0</v>
      </c>
      <c r="E38" s="26">
        <f t="shared" si="5"/>
        <v>0</v>
      </c>
      <c r="F38" s="80"/>
      <c r="G38" s="54"/>
      <c r="H38" s="74"/>
      <c r="I38" s="77"/>
      <c r="J38" t="s">
        <v>164</v>
      </c>
    </row>
    <row r="39" spans="2:10" x14ac:dyDescent="0.25">
      <c r="B39" s="55" t="s">
        <v>28</v>
      </c>
      <c r="C39" s="25">
        <f>[8]ALMOJABANO!$C$20</f>
        <v>16.192</v>
      </c>
      <c r="D39" s="26">
        <f>insumos!C39:C98</f>
        <v>5.9550000000000001</v>
      </c>
      <c r="E39" s="26">
        <f t="shared" si="5"/>
        <v>1.48875</v>
      </c>
      <c r="F39" s="80"/>
      <c r="G39" s="54"/>
      <c r="H39" s="74"/>
      <c r="I39" s="77"/>
      <c r="J39" t="s">
        <v>164</v>
      </c>
    </row>
    <row r="40" spans="2:10" x14ac:dyDescent="0.25">
      <c r="B40" s="55" t="s">
        <v>29</v>
      </c>
      <c r="C40" s="25">
        <f>'[8]SALCHICHA GUI'!$C$22</f>
        <v>187.04070000000002</v>
      </c>
      <c r="D40" s="26">
        <f>insumos!C40:C99</f>
        <v>51.024819999999998</v>
      </c>
      <c r="E40" s="26">
        <f t="shared" si="5"/>
        <v>12.756205</v>
      </c>
      <c r="F40" s="80">
        <f>insumos!E40</f>
        <v>9.1115750000000002</v>
      </c>
      <c r="G40" s="54" t="s">
        <v>53</v>
      </c>
      <c r="H40" s="74"/>
      <c r="I40" s="77"/>
    </row>
    <row r="41" spans="2:10" x14ac:dyDescent="0.25">
      <c r="B41" s="55" t="s">
        <v>30</v>
      </c>
      <c r="C41" s="25">
        <f>[8]BOLLO!$C$20</f>
        <v>86.043000000000006</v>
      </c>
      <c r="D41" s="26">
        <f>insumos!C41:C100</f>
        <v>157.642</v>
      </c>
      <c r="E41" s="26">
        <f t="shared" si="5"/>
        <v>39.410499999999999</v>
      </c>
      <c r="F41" s="80">
        <f>insumos!E41</f>
        <v>78.820999999999998</v>
      </c>
      <c r="G41" s="54" t="s">
        <v>50</v>
      </c>
      <c r="H41" s="74"/>
      <c r="I41" s="77"/>
    </row>
    <row r="42" spans="2:10" x14ac:dyDescent="0.25">
      <c r="B42" s="55" t="s">
        <v>31</v>
      </c>
      <c r="C42" s="25">
        <f>[8]CARIMAÑOLA!$C$20</f>
        <v>49.495632000000001</v>
      </c>
      <c r="D42" s="26">
        <f>insumos!C42:C101</f>
        <v>60.782559999999989</v>
      </c>
      <c r="E42" s="26">
        <f t="shared" si="5"/>
        <v>15.195639999999997</v>
      </c>
      <c r="F42" s="80">
        <f>insumos!E42</f>
        <v>36.615999999999993</v>
      </c>
      <c r="G42" s="54" t="s">
        <v>50</v>
      </c>
      <c r="H42" s="74"/>
      <c r="I42" s="77"/>
    </row>
    <row r="43" spans="2:10" x14ac:dyDescent="0.25">
      <c r="B43" s="55" t="s">
        <v>32</v>
      </c>
      <c r="C43" s="25">
        <f>[8]TORTILLA!$C$20</f>
        <v>24.494080000000004</v>
      </c>
      <c r="D43" s="26">
        <f>insumos!C43:C102</f>
        <v>52.402740000000009</v>
      </c>
      <c r="E43" s="26">
        <f t="shared" si="5"/>
        <v>13.100685000000002</v>
      </c>
      <c r="F43" s="80">
        <f>insumos!E43</f>
        <v>10.077450000000001</v>
      </c>
      <c r="G43" s="54" t="s">
        <v>157</v>
      </c>
      <c r="H43" s="74"/>
      <c r="I43" s="77"/>
    </row>
    <row r="44" spans="2:10" x14ac:dyDescent="0.25">
      <c r="B44" s="55" t="s">
        <v>33</v>
      </c>
      <c r="C44" s="25">
        <f>'[8]EMP DE MAIZ'!$C$20</f>
        <v>19.393599999999999</v>
      </c>
      <c r="D44" s="26">
        <f>insumos!C44:C103</f>
        <v>41.792314285714284</v>
      </c>
      <c r="E44" s="26">
        <f t="shared" si="5"/>
        <v>10.448078571428571</v>
      </c>
      <c r="F44" s="80">
        <f>insumos!E44</f>
        <v>6.1459285714285716</v>
      </c>
      <c r="G44" s="54" t="s">
        <v>157</v>
      </c>
      <c r="H44" s="74"/>
      <c r="I44" s="77"/>
    </row>
    <row r="45" spans="2:10" x14ac:dyDescent="0.25">
      <c r="B45" s="55"/>
      <c r="C45" s="25"/>
      <c r="D45" s="26"/>
      <c r="E45" s="26"/>
      <c r="F45" s="80"/>
      <c r="G45" s="54"/>
      <c r="H45" s="74"/>
      <c r="I45" s="77"/>
    </row>
    <row r="46" spans="2:10" x14ac:dyDescent="0.25">
      <c r="B46" s="55"/>
      <c r="C46" s="25"/>
      <c r="D46" s="26"/>
      <c r="E46" s="26"/>
      <c r="F46" s="80"/>
      <c r="G46" s="54"/>
      <c r="H46" s="74"/>
      <c r="I46" s="77"/>
    </row>
    <row r="47" spans="2:10" x14ac:dyDescent="0.25">
      <c r="B47" s="55"/>
      <c r="C47" s="25"/>
      <c r="D47" s="26"/>
      <c r="E47" s="26"/>
      <c r="F47" s="80"/>
      <c r="G47" s="54"/>
      <c r="H47" s="74"/>
      <c r="I47" s="77"/>
    </row>
    <row r="48" spans="2:10" x14ac:dyDescent="0.25">
      <c r="B48" s="55"/>
      <c r="C48" s="25"/>
      <c r="D48" s="26"/>
      <c r="E48" s="26"/>
      <c r="F48" s="80"/>
      <c r="G48" s="54"/>
      <c r="H48" s="74"/>
      <c r="I48" s="77"/>
    </row>
    <row r="49" spans="2:10" x14ac:dyDescent="0.25">
      <c r="B49" s="55"/>
      <c r="C49" s="25"/>
      <c r="D49" s="26"/>
      <c r="E49" s="26"/>
      <c r="F49" s="80"/>
      <c r="G49" s="54"/>
      <c r="H49" s="74"/>
      <c r="I49" s="77"/>
    </row>
    <row r="50" spans="2:10" x14ac:dyDescent="0.25">
      <c r="B50" s="55"/>
      <c r="C50" s="25"/>
      <c r="D50" s="26"/>
      <c r="E50" s="26"/>
      <c r="F50" s="80"/>
      <c r="G50" s="54"/>
      <c r="H50" s="74"/>
      <c r="I50" s="77"/>
    </row>
    <row r="51" spans="2:10" x14ac:dyDescent="0.25">
      <c r="B51" s="55"/>
      <c r="C51" s="25"/>
      <c r="D51" s="26"/>
      <c r="E51" s="26"/>
      <c r="F51" s="80"/>
      <c r="G51" s="54"/>
      <c r="H51" s="74"/>
      <c r="I51" s="77"/>
    </row>
    <row r="52" spans="2:10" x14ac:dyDescent="0.25">
      <c r="B52" s="55"/>
      <c r="C52" s="25"/>
      <c r="D52" s="26"/>
      <c r="E52" s="26"/>
      <c r="F52" s="80"/>
      <c r="G52" s="54"/>
      <c r="H52" s="74"/>
      <c r="I52" s="77"/>
    </row>
    <row r="53" spans="2:10" x14ac:dyDescent="0.25">
      <c r="B53" s="55"/>
      <c r="C53" s="25"/>
      <c r="D53" s="26"/>
      <c r="E53" s="26"/>
      <c r="F53" s="80"/>
      <c r="G53" s="54"/>
      <c r="H53" s="74"/>
      <c r="I53" s="77"/>
    </row>
    <row r="54" spans="2:10" x14ac:dyDescent="0.25">
      <c r="B54" s="55"/>
      <c r="C54" s="25"/>
      <c r="D54" s="20"/>
      <c r="E54" s="26"/>
      <c r="F54" s="80"/>
      <c r="G54" s="54"/>
      <c r="H54" s="74"/>
      <c r="I54" s="77"/>
    </row>
    <row r="55" spans="2:10" x14ac:dyDescent="0.25">
      <c r="B55" s="55"/>
      <c r="C55" s="25"/>
      <c r="D55" s="20"/>
      <c r="E55" s="26"/>
      <c r="F55" s="80"/>
      <c r="G55" s="54"/>
      <c r="H55" s="74"/>
      <c r="I55" s="77"/>
    </row>
    <row r="56" spans="2:10" x14ac:dyDescent="0.25">
      <c r="B56" s="55"/>
      <c r="C56" s="28"/>
      <c r="D56" s="20"/>
      <c r="E56" s="26"/>
      <c r="F56" s="80"/>
      <c r="G56" s="54"/>
      <c r="H56" s="74"/>
      <c r="I56" s="77"/>
    </row>
    <row r="57" spans="2:10" x14ac:dyDescent="0.25">
      <c r="B57" s="55"/>
      <c r="C57" s="28"/>
      <c r="D57" s="20"/>
      <c r="E57" s="26"/>
      <c r="F57" s="80"/>
      <c r="G57" s="54"/>
      <c r="H57" s="74"/>
      <c r="I57" s="77"/>
    </row>
    <row r="58" spans="2:10" x14ac:dyDescent="0.25">
      <c r="B58" s="48" t="s">
        <v>34</v>
      </c>
      <c r="C58" s="20">
        <f>C59+300</f>
        <v>2375.2466666666664</v>
      </c>
      <c r="D58" s="20">
        <f>insumos!C48</f>
        <v>2526.2252885286666</v>
      </c>
      <c r="E58" s="57"/>
      <c r="F58" s="80"/>
      <c r="G58" s="54"/>
      <c r="H58" s="74"/>
      <c r="I58" s="77"/>
    </row>
    <row r="59" spans="2:10" x14ac:dyDescent="0.25">
      <c r="B59" s="55" t="s">
        <v>35</v>
      </c>
      <c r="C59" s="28">
        <f>[6]SODAS!$B$21</f>
        <v>2075.2466666666664</v>
      </c>
      <c r="D59" s="26">
        <f>insumos!C49</f>
        <v>1826.2252885286666</v>
      </c>
      <c r="E59" s="26">
        <f>insumos!D49</f>
        <v>456.55632213216666</v>
      </c>
      <c r="F59" s="81">
        <f>insumos!E49</f>
        <v>62.973285811333334</v>
      </c>
      <c r="G59" s="54" t="s">
        <v>114</v>
      </c>
      <c r="H59" s="74">
        <v>11</v>
      </c>
      <c r="I59" s="73">
        <f>F59-H59</f>
        <v>51.973285811333334</v>
      </c>
      <c r="J59" t="s">
        <v>164</v>
      </c>
    </row>
    <row r="60" spans="2:10" x14ac:dyDescent="0.25">
      <c r="B60" s="55" t="s">
        <v>75</v>
      </c>
      <c r="C60" s="28"/>
      <c r="D60" s="26">
        <f>insumos!C50</f>
        <v>400</v>
      </c>
      <c r="E60" s="26">
        <f t="shared" ref="E60:E76" si="6">D60/4</f>
        <v>100</v>
      </c>
      <c r="F60" s="80"/>
      <c r="G60" s="54"/>
      <c r="H60" s="74"/>
      <c r="I60" s="73"/>
      <c r="J60" t="s">
        <v>164</v>
      </c>
    </row>
    <row r="61" spans="2:10" x14ac:dyDescent="0.25">
      <c r="B61" s="55" t="s">
        <v>158</v>
      </c>
      <c r="C61" s="28"/>
      <c r="D61" s="26">
        <f>insumos!C51</f>
        <v>300</v>
      </c>
      <c r="E61" s="26">
        <f t="shared" si="6"/>
        <v>75</v>
      </c>
      <c r="F61" s="80"/>
      <c r="G61" s="54"/>
      <c r="H61" s="74"/>
      <c r="I61" s="73"/>
      <c r="J61" t="s">
        <v>164</v>
      </c>
    </row>
    <row r="62" spans="2:10" x14ac:dyDescent="0.25">
      <c r="B62" s="55"/>
      <c r="C62" s="28"/>
      <c r="D62" s="20"/>
      <c r="E62" s="26"/>
      <c r="F62" s="80"/>
      <c r="G62" s="54"/>
      <c r="H62" s="74"/>
      <c r="I62" s="77"/>
    </row>
    <row r="63" spans="2:10" x14ac:dyDescent="0.25">
      <c r="B63" s="55"/>
      <c r="C63" s="28"/>
      <c r="D63" s="20"/>
      <c r="E63" s="26"/>
      <c r="F63" s="80"/>
      <c r="G63" s="54"/>
      <c r="H63" s="74"/>
      <c r="I63" s="77"/>
    </row>
    <row r="64" spans="2:10" x14ac:dyDescent="0.25">
      <c r="B64" s="48" t="s">
        <v>36</v>
      </c>
      <c r="C64" s="29">
        <v>1200</v>
      </c>
      <c r="D64" s="20">
        <f>insumos!C54</f>
        <v>950</v>
      </c>
      <c r="E64" s="26">
        <f t="shared" si="6"/>
        <v>237.5</v>
      </c>
      <c r="F64" s="80"/>
      <c r="G64" s="54"/>
      <c r="H64" s="74"/>
      <c r="I64" s="77"/>
      <c r="J64" t="s">
        <v>164</v>
      </c>
    </row>
    <row r="65" spans="2:10" x14ac:dyDescent="0.25">
      <c r="B65" s="48"/>
      <c r="C65" s="29"/>
      <c r="D65" s="20"/>
      <c r="E65" s="26"/>
      <c r="F65" s="80"/>
      <c r="G65" s="54"/>
      <c r="H65" s="74"/>
      <c r="I65" s="77"/>
    </row>
    <row r="66" spans="2:10" x14ac:dyDescent="0.25">
      <c r="B66" s="48"/>
      <c r="C66" s="29"/>
      <c r="D66" s="20"/>
      <c r="E66" s="26"/>
      <c r="F66" s="80"/>
      <c r="G66" s="54"/>
      <c r="H66" s="74"/>
      <c r="I66" s="77"/>
    </row>
    <row r="67" spans="2:10" x14ac:dyDescent="0.25">
      <c r="B67" s="48" t="s">
        <v>37</v>
      </c>
      <c r="C67" s="29">
        <f>SUM(C68:C71)+400</f>
        <v>3186.5310509076285</v>
      </c>
      <c r="D67" s="20">
        <f>insumos!C57</f>
        <v>3546.8975534787924</v>
      </c>
      <c r="E67" s="57"/>
      <c r="F67" s="80"/>
      <c r="G67" s="54"/>
      <c r="H67" s="74"/>
      <c r="I67" s="77"/>
    </row>
    <row r="68" spans="2:10" x14ac:dyDescent="0.25">
      <c r="B68" s="55" t="s">
        <v>38</v>
      </c>
      <c r="C68" s="28">
        <f>[6]ARROZ!$B$21</f>
        <v>716</v>
      </c>
      <c r="D68" s="26">
        <f>insumos!C58</f>
        <v>922.40603808326387</v>
      </c>
      <c r="E68" s="26">
        <f t="shared" si="6"/>
        <v>230.60150952081597</v>
      </c>
      <c r="F68" s="80">
        <f>insumos!E58</f>
        <v>72.74495568479999</v>
      </c>
      <c r="G68" s="54" t="s">
        <v>51</v>
      </c>
      <c r="H68" s="74"/>
      <c r="I68" s="73">
        <f t="shared" ref="I68:I71" si="7">F68-H68</f>
        <v>72.74495568479999</v>
      </c>
      <c r="J68" t="s">
        <v>164</v>
      </c>
    </row>
    <row r="69" spans="2:10" x14ac:dyDescent="0.25">
      <c r="B69" s="55" t="s">
        <v>39</v>
      </c>
      <c r="C69" s="28">
        <f>[6]CHIMICHURRI!$B$20</f>
        <v>691.19542233619984</v>
      </c>
      <c r="D69" s="26">
        <f>insumos!C59</f>
        <v>335.81107742382073</v>
      </c>
      <c r="E69" s="26">
        <f t="shared" si="6"/>
        <v>83.952769355955184</v>
      </c>
      <c r="F69" s="80"/>
      <c r="G69" s="54"/>
      <c r="H69" s="74"/>
      <c r="I69" s="73"/>
    </row>
    <row r="70" spans="2:10" x14ac:dyDescent="0.25">
      <c r="B70" s="55" t="s">
        <v>40</v>
      </c>
      <c r="C70" s="28">
        <f>[6]PATACONES!$B$21</f>
        <v>440.0938285714285</v>
      </c>
      <c r="D70" s="26">
        <f>insumos!C60</f>
        <v>286.34869827170741</v>
      </c>
      <c r="E70" s="26">
        <f t="shared" si="6"/>
        <v>71.587174567926851</v>
      </c>
      <c r="F70" s="80">
        <f>insumos!E60</f>
        <v>298.27989403302854</v>
      </c>
      <c r="G70" s="54" t="s">
        <v>50</v>
      </c>
      <c r="H70" s="74"/>
      <c r="I70" s="73"/>
      <c r="J70" t="s">
        <v>164</v>
      </c>
    </row>
    <row r="71" spans="2:10" x14ac:dyDescent="0.25">
      <c r="B71" s="55" t="s">
        <v>41</v>
      </c>
      <c r="C71" s="28">
        <f>[6]papitas!$C$24</f>
        <v>939.24180000000013</v>
      </c>
      <c r="D71" s="26">
        <f>insumos!C61</f>
        <v>1205.9450480000003</v>
      </c>
      <c r="E71" s="26">
        <f t="shared" si="6"/>
        <v>301.48626200000007</v>
      </c>
      <c r="F71" s="80">
        <f>insumos!E61</f>
        <v>22.168107500000005</v>
      </c>
      <c r="G71" s="54" t="s">
        <v>114</v>
      </c>
      <c r="H71" s="74">
        <v>0</v>
      </c>
      <c r="I71" s="73">
        <f t="shared" si="7"/>
        <v>22.168107500000005</v>
      </c>
      <c r="J71" t="s">
        <v>164</v>
      </c>
    </row>
    <row r="72" spans="2:10" x14ac:dyDescent="0.25">
      <c r="B72" s="55" t="s">
        <v>161</v>
      </c>
      <c r="C72" s="28"/>
      <c r="D72" s="26">
        <f>insumos!C63</f>
        <v>500</v>
      </c>
      <c r="E72" s="26">
        <f>insumos!D63</f>
        <v>125</v>
      </c>
      <c r="F72" s="80"/>
      <c r="G72" s="54"/>
      <c r="H72" s="74"/>
      <c r="I72" s="73"/>
    </row>
    <row r="73" spans="2:10" x14ac:dyDescent="0.25">
      <c r="B73" s="55"/>
      <c r="C73" s="28"/>
      <c r="D73" s="26"/>
      <c r="E73" s="26"/>
      <c r="F73" s="80"/>
      <c r="G73" s="54"/>
      <c r="H73" s="74"/>
      <c r="I73" s="77"/>
    </row>
    <row r="74" spans="2:10" x14ac:dyDescent="0.25">
      <c r="B74" s="55" t="s">
        <v>42</v>
      </c>
      <c r="C74" s="29">
        <v>2500</v>
      </c>
      <c r="D74" s="26">
        <f>insumos!C65</f>
        <v>2150</v>
      </c>
      <c r="E74" s="26">
        <f t="shared" si="6"/>
        <v>537.5</v>
      </c>
      <c r="F74" s="80"/>
      <c r="G74" s="54"/>
      <c r="H74" s="74"/>
      <c r="I74" s="77"/>
    </row>
    <row r="75" spans="2:10" x14ac:dyDescent="0.25">
      <c r="B75" s="55"/>
      <c r="C75" s="35"/>
      <c r="D75" s="64"/>
      <c r="E75" s="26"/>
      <c r="F75" s="65"/>
      <c r="G75" s="54"/>
      <c r="H75" s="74"/>
      <c r="I75" s="77"/>
    </row>
    <row r="76" spans="2:10" ht="15.75" thickBot="1" x14ac:dyDescent="0.3">
      <c r="B76" s="58" t="s">
        <v>115</v>
      </c>
      <c r="C76" s="59">
        <f>SUM(C5+C23+C28+C34+C58+C64+C67+C74)</f>
        <v>19661.980839772234</v>
      </c>
      <c r="D76" s="60">
        <f>SUM(D74+D67+D64+D58+D34+D28+D23+D5)</f>
        <v>20262.061999189555</v>
      </c>
      <c r="E76" s="63">
        <f t="shared" si="6"/>
        <v>5065.5154997973887</v>
      </c>
      <c r="F76" s="61"/>
      <c r="G76" s="62"/>
      <c r="H76" s="78"/>
      <c r="I76" s="79"/>
    </row>
  </sheetData>
  <pageMargins left="0.7" right="0.7" top="0.75" bottom="0.75" header="0.3" footer="0.3"/>
  <pageSetup scale="77" fitToWidth="0"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K65"/>
  <sheetViews>
    <sheetView tabSelected="1" topLeftCell="B1" zoomScale="130" zoomScaleNormal="130" workbookViewId="0">
      <pane xSplit="1" ySplit="4" topLeftCell="C5" activePane="bottomRight" state="frozen"/>
      <selection activeCell="B1" sqref="B1"/>
      <selection pane="topRight" activeCell="C1" sqref="C1"/>
      <selection pane="bottomLeft" activeCell="B5" sqref="B5"/>
      <selection pane="bottomRight" activeCell="B9" sqref="B9"/>
    </sheetView>
  </sheetViews>
  <sheetFormatPr baseColWidth="10" defaultRowHeight="15" x14ac:dyDescent="0.25"/>
  <cols>
    <col min="2" max="2" width="42.140625" bestFit="1" customWidth="1"/>
    <col min="3" max="3" width="12.85546875" bestFit="1" customWidth="1"/>
    <col min="4" max="4" width="12.42578125" bestFit="1" customWidth="1"/>
    <col min="5" max="8" width="11.28515625" style="4" customWidth="1"/>
    <col min="9" max="9" width="12.42578125" style="4" bestFit="1" customWidth="1"/>
    <col min="10" max="10" width="17" style="4" bestFit="1" customWidth="1"/>
  </cols>
  <sheetData>
    <row r="2" spans="2:10" ht="15.75" thickBot="1" x14ac:dyDescent="0.3"/>
    <row r="3" spans="2:10" x14ac:dyDescent="0.25">
      <c r="B3" s="9" t="s">
        <v>123</v>
      </c>
      <c r="C3" s="1" t="s">
        <v>49</v>
      </c>
      <c r="D3" s="5"/>
      <c r="E3" s="3"/>
      <c r="F3" s="14"/>
      <c r="G3" s="14"/>
      <c r="H3" s="14"/>
      <c r="I3" s="14"/>
      <c r="J3" s="10"/>
    </row>
    <row r="4" spans="2:10" x14ac:dyDescent="0.25">
      <c r="B4" s="11"/>
      <c r="C4" s="8" t="s">
        <v>47</v>
      </c>
      <c r="D4" s="2" t="s">
        <v>48</v>
      </c>
      <c r="E4" s="2" t="s">
        <v>54</v>
      </c>
      <c r="F4" s="2" t="s">
        <v>55</v>
      </c>
      <c r="G4" s="2" t="s">
        <v>56</v>
      </c>
      <c r="H4" s="2" t="s">
        <v>57</v>
      </c>
      <c r="I4" s="15" t="s">
        <v>61</v>
      </c>
      <c r="J4" s="19" t="s">
        <v>131</v>
      </c>
    </row>
    <row r="5" spans="2:10" x14ac:dyDescent="0.25">
      <c r="B5" s="11" t="s">
        <v>0</v>
      </c>
      <c r="C5" s="20">
        <f>insumos!C5</f>
        <v>4565.1795844298849</v>
      </c>
      <c r="D5" s="21"/>
      <c r="E5" s="22"/>
      <c r="F5" s="42"/>
      <c r="G5" s="42"/>
      <c r="H5" s="42"/>
      <c r="I5" s="23"/>
      <c r="J5" s="31">
        <f>(C5-I5)-SUM(I5:I20)</f>
        <v>3647.2795844298853</v>
      </c>
    </row>
    <row r="6" spans="2:10" x14ac:dyDescent="0.25">
      <c r="B6" s="12" t="s">
        <v>1</v>
      </c>
      <c r="C6" s="25">
        <f>insumos!C6</f>
        <v>1404.5338163609517</v>
      </c>
      <c r="D6" s="26">
        <f>C6/4</f>
        <v>351.13345409023793</v>
      </c>
      <c r="E6" s="84">
        <f>'sem 1'!Q7</f>
        <v>0</v>
      </c>
      <c r="F6" s="42">
        <f>'sem2'!Q7</f>
        <v>249.09</v>
      </c>
      <c r="G6" s="42">
        <f>'sem3'!Q7</f>
        <v>0</v>
      </c>
      <c r="H6" s="42">
        <f>'sem4'!Q7</f>
        <v>0</v>
      </c>
      <c r="I6" s="23">
        <f>E6+F6+G6+H6</f>
        <v>249.09</v>
      </c>
      <c r="J6" s="24">
        <f t="shared" ref="J6:J21" si="0">C6-I6</f>
        <v>1155.4438163609518</v>
      </c>
    </row>
    <row r="7" spans="2:10" x14ac:dyDescent="0.25">
      <c r="B7" s="12" t="s">
        <v>2</v>
      </c>
      <c r="C7" s="25">
        <f>insumos!C7</f>
        <v>285.96554460046718</v>
      </c>
      <c r="D7" s="26">
        <f t="shared" ref="D7:D20" si="1">C7/4</f>
        <v>71.491386150116796</v>
      </c>
      <c r="E7" s="84">
        <f>'sem 1'!Q8</f>
        <v>0</v>
      </c>
      <c r="F7" s="42">
        <f>'sem2'!Q8</f>
        <v>0</v>
      </c>
      <c r="G7" s="42">
        <f>'sem3'!Q8</f>
        <v>0</v>
      </c>
      <c r="H7" s="42">
        <f>'sem4'!Q8</f>
        <v>0</v>
      </c>
      <c r="I7" s="23">
        <f t="shared" ref="I7:I60" si="2">E7+F7+G7+H7</f>
        <v>0</v>
      </c>
      <c r="J7" s="24">
        <f t="shared" si="0"/>
        <v>285.96554460046718</v>
      </c>
    </row>
    <row r="8" spans="2:10" x14ac:dyDescent="0.25">
      <c r="B8" s="12" t="s">
        <v>52</v>
      </c>
      <c r="C8" s="25">
        <f>insumos!C8</f>
        <v>391.36151984232163</v>
      </c>
      <c r="D8" s="26">
        <f t="shared" si="1"/>
        <v>97.840379960580407</v>
      </c>
      <c r="E8" s="84">
        <f>'sem 1'!Q9</f>
        <v>137.91</v>
      </c>
      <c r="F8" s="42">
        <f>'sem2'!Q9</f>
        <v>0</v>
      </c>
      <c r="G8" s="42">
        <f>'sem3'!Q9</f>
        <v>0</v>
      </c>
      <c r="H8" s="42">
        <f>'sem4'!Q9</f>
        <v>0</v>
      </c>
      <c r="I8" s="23">
        <f t="shared" si="2"/>
        <v>137.91</v>
      </c>
      <c r="J8" s="24">
        <f t="shared" si="0"/>
        <v>253.45151984232163</v>
      </c>
    </row>
    <row r="9" spans="2:10" x14ac:dyDescent="0.25">
      <c r="B9" s="12" t="s">
        <v>3</v>
      </c>
      <c r="C9" s="25">
        <f>insumos!C9</f>
        <v>405.24573992614393</v>
      </c>
      <c r="D9" s="26">
        <f t="shared" si="1"/>
        <v>101.31143498153598</v>
      </c>
      <c r="E9" s="84">
        <f>'sem 1'!Q10</f>
        <v>93.710000000000008</v>
      </c>
      <c r="F9" s="42">
        <f>'sem2'!Q10</f>
        <v>24.32</v>
      </c>
      <c r="G9" s="42">
        <f>'sem3'!Q10</f>
        <v>0</v>
      </c>
      <c r="H9" s="42">
        <f>'sem4'!Q10</f>
        <v>0</v>
      </c>
      <c r="I9" s="23">
        <f t="shared" si="2"/>
        <v>118.03</v>
      </c>
      <c r="J9" s="24">
        <f t="shared" si="0"/>
        <v>287.2157399261439</v>
      </c>
    </row>
    <row r="10" spans="2:10" x14ac:dyDescent="0.25">
      <c r="B10" s="12" t="s">
        <v>4</v>
      </c>
      <c r="C10" s="25">
        <f>insumos!C10</f>
        <v>0</v>
      </c>
      <c r="D10" s="26">
        <f t="shared" si="1"/>
        <v>0</v>
      </c>
      <c r="E10" s="84">
        <f>'sem 1'!Q11</f>
        <v>0</v>
      </c>
      <c r="F10" s="42">
        <f>'sem2'!Q11</f>
        <v>0</v>
      </c>
      <c r="G10" s="42">
        <f>'sem3'!Q11</f>
        <v>0</v>
      </c>
      <c r="H10" s="42">
        <f>'sem4'!Q11</f>
        <v>0</v>
      </c>
      <c r="I10" s="23">
        <f t="shared" si="2"/>
        <v>0</v>
      </c>
      <c r="J10" s="24">
        <f t="shared" si="0"/>
        <v>0</v>
      </c>
    </row>
    <row r="11" spans="2:10" x14ac:dyDescent="0.25">
      <c r="B11" s="12" t="s">
        <v>5</v>
      </c>
      <c r="C11" s="25">
        <f>insumos!C11</f>
        <v>236.51471999999998</v>
      </c>
      <c r="D11" s="26">
        <f t="shared" si="1"/>
        <v>59.128679999999996</v>
      </c>
      <c r="E11" s="84">
        <f>'sem 1'!Q12</f>
        <v>53.3</v>
      </c>
      <c r="F11" s="42">
        <f>'sem2'!Q12</f>
        <v>0</v>
      </c>
      <c r="G11" s="42">
        <f>'sem3'!Q12</f>
        <v>0</v>
      </c>
      <c r="H11" s="42">
        <f>'sem4'!Q12</f>
        <v>0</v>
      </c>
      <c r="I11" s="23">
        <f t="shared" si="2"/>
        <v>53.3</v>
      </c>
      <c r="J11" s="24">
        <f t="shared" si="0"/>
        <v>183.21472</v>
      </c>
    </row>
    <row r="12" spans="2:10" x14ac:dyDescent="0.25">
      <c r="B12" s="12" t="s">
        <v>6</v>
      </c>
      <c r="C12" s="25">
        <f>insumos!C12</f>
        <v>184.98886559999997</v>
      </c>
      <c r="D12" s="26">
        <f t="shared" si="1"/>
        <v>46.247216399999992</v>
      </c>
      <c r="E12" s="84">
        <f>'sem 1'!Q13</f>
        <v>0</v>
      </c>
      <c r="F12" s="42">
        <f>'sem2'!Q13</f>
        <v>0</v>
      </c>
      <c r="G12" s="42">
        <f>'sem3'!Q13</f>
        <v>0</v>
      </c>
      <c r="H12" s="42">
        <f>'sem4'!Q13</f>
        <v>0</v>
      </c>
      <c r="I12" s="23">
        <f t="shared" si="2"/>
        <v>0</v>
      </c>
      <c r="J12" s="24">
        <f t="shared" si="0"/>
        <v>184.98886559999997</v>
      </c>
    </row>
    <row r="13" spans="2:10" x14ac:dyDescent="0.25">
      <c r="B13" s="12" t="s">
        <v>7</v>
      </c>
      <c r="C13" s="25">
        <f>insumos!C13</f>
        <v>390.35299160000005</v>
      </c>
      <c r="D13" s="26">
        <f t="shared" si="1"/>
        <v>97.588247900000013</v>
      </c>
      <c r="E13" s="84">
        <f>'sem 1'!Q14</f>
        <v>137.91</v>
      </c>
      <c r="F13" s="42">
        <f>'sem2'!Q14</f>
        <v>0</v>
      </c>
      <c r="G13" s="42">
        <f>'sem3'!Q14</f>
        <v>0</v>
      </c>
      <c r="H13" s="42">
        <f>'sem4'!Q14</f>
        <v>0</v>
      </c>
      <c r="I13" s="23">
        <f t="shared" si="2"/>
        <v>137.91</v>
      </c>
      <c r="J13" s="24">
        <f t="shared" si="0"/>
        <v>252.44299160000006</v>
      </c>
    </row>
    <row r="14" spans="2:10" x14ac:dyDescent="0.25">
      <c r="B14" s="12" t="s">
        <v>8</v>
      </c>
      <c r="C14" s="25">
        <f>insumos!C14</f>
        <v>253.56175200000004</v>
      </c>
      <c r="D14" s="26">
        <f t="shared" si="1"/>
        <v>63.39043800000001</v>
      </c>
      <c r="E14" s="84">
        <f>'sem 1'!Q15</f>
        <v>48.17</v>
      </c>
      <c r="F14" s="42">
        <f>'sem2'!Q15</f>
        <v>0</v>
      </c>
      <c r="G14" s="42">
        <f>'sem3'!Q15</f>
        <v>0</v>
      </c>
      <c r="H14" s="42">
        <f>'sem4'!Q15</f>
        <v>0</v>
      </c>
      <c r="I14" s="23">
        <f t="shared" si="2"/>
        <v>48.17</v>
      </c>
      <c r="J14" s="24">
        <f t="shared" si="0"/>
        <v>205.39175200000005</v>
      </c>
    </row>
    <row r="15" spans="2:10" x14ac:dyDescent="0.25">
      <c r="B15" s="12" t="s">
        <v>9</v>
      </c>
      <c r="C15" s="25">
        <f>insumos!C15</f>
        <v>155.53525750000003</v>
      </c>
      <c r="D15" s="26">
        <f t="shared" si="1"/>
        <v>38.883814375000007</v>
      </c>
      <c r="E15" s="84">
        <f>'sem 1'!Q16</f>
        <v>35.880000000000003</v>
      </c>
      <c r="F15" s="42">
        <f>'sem2'!Q16</f>
        <v>0</v>
      </c>
      <c r="G15" s="42">
        <f>'sem3'!Q16</f>
        <v>0</v>
      </c>
      <c r="H15" s="42">
        <f>'sem4'!Q16</f>
        <v>0</v>
      </c>
      <c r="I15" s="23">
        <f t="shared" si="2"/>
        <v>35.880000000000003</v>
      </c>
      <c r="J15" s="24">
        <f t="shared" si="0"/>
        <v>119.65525750000003</v>
      </c>
    </row>
    <row r="16" spans="2:10" x14ac:dyDescent="0.25">
      <c r="B16" s="12" t="s">
        <v>10</v>
      </c>
      <c r="C16" s="25">
        <f>insumos!C16</f>
        <v>47.804303999999995</v>
      </c>
      <c r="D16" s="26">
        <f t="shared" si="1"/>
        <v>11.951075999999999</v>
      </c>
      <c r="E16" s="84">
        <f>'sem 1'!Q17</f>
        <v>9.6</v>
      </c>
      <c r="F16" s="42">
        <f>'sem2'!Q17</f>
        <v>0</v>
      </c>
      <c r="G16" s="42">
        <f>'sem3'!Q17</f>
        <v>0</v>
      </c>
      <c r="H16" s="42">
        <f>'sem4'!Q17</f>
        <v>0</v>
      </c>
      <c r="I16" s="23">
        <f t="shared" si="2"/>
        <v>9.6</v>
      </c>
      <c r="J16" s="24">
        <f t="shared" si="0"/>
        <v>38.204303999999993</v>
      </c>
    </row>
    <row r="17" spans="2:10" x14ac:dyDescent="0.25">
      <c r="B17" s="12" t="s">
        <v>11</v>
      </c>
      <c r="C17" s="25">
        <f>insumos!C17</f>
        <v>0</v>
      </c>
      <c r="D17" s="26">
        <f t="shared" si="1"/>
        <v>0</v>
      </c>
      <c r="E17" s="84">
        <f>'sem 1'!Q18</f>
        <v>0</v>
      </c>
      <c r="F17" s="42">
        <f>'sem2'!Q18</f>
        <v>0</v>
      </c>
      <c r="G17" s="42">
        <f>'sem3'!Q18</f>
        <v>0</v>
      </c>
      <c r="H17" s="42">
        <f>'sem4'!Q18</f>
        <v>0</v>
      </c>
      <c r="I17" s="23">
        <f t="shared" si="2"/>
        <v>0</v>
      </c>
      <c r="J17" s="24">
        <f t="shared" si="0"/>
        <v>0</v>
      </c>
    </row>
    <row r="18" spans="2:10" x14ac:dyDescent="0.25">
      <c r="B18" s="12" t="s">
        <v>12</v>
      </c>
      <c r="C18" s="25">
        <f>insumos!C18</f>
        <v>226.64542080000004</v>
      </c>
      <c r="D18" s="26">
        <f t="shared" si="1"/>
        <v>56.66135520000001</v>
      </c>
      <c r="E18" s="84">
        <f>'sem 1'!Q19</f>
        <v>86.76</v>
      </c>
      <c r="F18" s="42">
        <f>'sem2'!Q19</f>
        <v>0</v>
      </c>
      <c r="G18" s="42">
        <f>'sem3'!Q19</f>
        <v>0</v>
      </c>
      <c r="H18" s="42">
        <f>'sem4'!Q19</f>
        <v>0</v>
      </c>
      <c r="I18" s="23">
        <f t="shared" si="2"/>
        <v>86.76</v>
      </c>
      <c r="J18" s="24">
        <f t="shared" si="0"/>
        <v>139.88542080000002</v>
      </c>
    </row>
    <row r="19" spans="2:10" x14ac:dyDescent="0.25">
      <c r="B19" s="12" t="s">
        <v>13</v>
      </c>
      <c r="C19" s="25">
        <f>insumos!C19</f>
        <v>78.967625000000012</v>
      </c>
      <c r="D19" s="26">
        <f t="shared" si="1"/>
        <v>19.741906250000003</v>
      </c>
      <c r="E19" s="84">
        <f>'sem 1'!Q20</f>
        <v>0</v>
      </c>
      <c r="F19" s="42">
        <f>'sem2'!Q20</f>
        <v>41.25</v>
      </c>
      <c r="G19" s="42">
        <f>'sem3'!Q20</f>
        <v>0</v>
      </c>
      <c r="H19" s="42">
        <f>'sem4'!Q20</f>
        <v>0</v>
      </c>
      <c r="I19" s="23">
        <f t="shared" si="2"/>
        <v>41.25</v>
      </c>
      <c r="J19" s="24">
        <f t="shared" si="0"/>
        <v>37.717625000000012</v>
      </c>
    </row>
    <row r="20" spans="2:10" x14ac:dyDescent="0.25">
      <c r="B20" s="12" t="s">
        <v>14</v>
      </c>
      <c r="C20" s="25">
        <f>insumos!C20</f>
        <v>193.70202719999997</v>
      </c>
      <c r="D20" s="26">
        <f t="shared" si="1"/>
        <v>48.425506799999994</v>
      </c>
      <c r="E20" s="84">
        <f>'sem 1'!Q21</f>
        <v>0</v>
      </c>
      <c r="F20" s="42">
        <f>'sem2'!Q21</f>
        <v>0</v>
      </c>
      <c r="G20" s="42">
        <f>'sem3'!Q21</f>
        <v>0</v>
      </c>
      <c r="H20" s="42">
        <f>'sem4'!Q21</f>
        <v>0</v>
      </c>
      <c r="I20" s="23">
        <f t="shared" si="2"/>
        <v>0</v>
      </c>
      <c r="J20" s="24">
        <f t="shared" si="0"/>
        <v>193.70202719999997</v>
      </c>
    </row>
    <row r="21" spans="2:10" x14ac:dyDescent="0.25">
      <c r="B21" s="12" t="s">
        <v>156</v>
      </c>
      <c r="C21" s="25">
        <f>insumos!C21</f>
        <v>310</v>
      </c>
      <c r="D21" s="26">
        <f t="shared" ref="D21" si="3">C21/4</f>
        <v>77.5</v>
      </c>
      <c r="E21" s="84">
        <f>'sem 1'!Q22</f>
        <v>46.980000000000004</v>
      </c>
      <c r="F21" s="42">
        <f>'sem2'!Q22</f>
        <v>0</v>
      </c>
      <c r="G21" s="42">
        <f>'sem3'!Q22</f>
        <v>0</v>
      </c>
      <c r="H21" s="42">
        <f>'sem4'!Q22</f>
        <v>0</v>
      </c>
      <c r="I21" s="23">
        <f t="shared" si="2"/>
        <v>46.980000000000004</v>
      </c>
      <c r="J21" s="24">
        <f t="shared" si="0"/>
        <v>263.02</v>
      </c>
    </row>
    <row r="22" spans="2:10" x14ac:dyDescent="0.25">
      <c r="B22" s="12"/>
      <c r="C22" s="25"/>
      <c r="D22" s="26"/>
      <c r="E22" s="84"/>
      <c r="F22" s="42"/>
      <c r="G22" s="42"/>
      <c r="H22" s="42"/>
      <c r="I22" s="23">
        <f>E22+F22+G22+H22</f>
        <v>0</v>
      </c>
      <c r="J22" s="24"/>
    </row>
    <row r="23" spans="2:10" x14ac:dyDescent="0.25">
      <c r="B23" s="11" t="s">
        <v>15</v>
      </c>
      <c r="C23" s="20">
        <f>insumos!C23</f>
        <v>635.81055600000002</v>
      </c>
      <c r="D23" s="27"/>
      <c r="E23" s="84"/>
      <c r="F23" s="42"/>
      <c r="G23" s="42"/>
      <c r="H23" s="42"/>
      <c r="I23" s="23">
        <f t="shared" si="2"/>
        <v>0</v>
      </c>
      <c r="J23" s="31">
        <f>(C23-I23)-SUM(I23:I26)</f>
        <v>569.81055600000002</v>
      </c>
    </row>
    <row r="24" spans="2:10" x14ac:dyDescent="0.25">
      <c r="B24" s="12" t="s">
        <v>16</v>
      </c>
      <c r="C24" s="25">
        <f>insumos!C24</f>
        <v>283.16468399999997</v>
      </c>
      <c r="D24" s="26">
        <f t="shared" ref="D24:D26" si="4">C24/4</f>
        <v>70.791170999999991</v>
      </c>
      <c r="E24" s="84">
        <f>'sem 1'!Q27</f>
        <v>66</v>
      </c>
      <c r="F24" s="42">
        <f>'sem2'!Q27</f>
        <v>0</v>
      </c>
      <c r="G24" s="42">
        <f>'sem3'!Q27</f>
        <v>0</v>
      </c>
      <c r="H24" s="42">
        <f>'sem4'!Q27</f>
        <v>0</v>
      </c>
      <c r="I24" s="23">
        <f t="shared" si="2"/>
        <v>66</v>
      </c>
      <c r="J24" s="24">
        <f>C24-I24</f>
        <v>217.16468399999997</v>
      </c>
    </row>
    <row r="25" spans="2:10" x14ac:dyDescent="0.25">
      <c r="B25" s="12" t="s">
        <v>17</v>
      </c>
      <c r="C25" s="25">
        <f>insumos!C25</f>
        <v>75.132288000000017</v>
      </c>
      <c r="D25" s="26">
        <f t="shared" si="4"/>
        <v>18.783072000000004</v>
      </c>
      <c r="E25" s="84">
        <f>'sem 1'!Q28</f>
        <v>0</v>
      </c>
      <c r="F25" s="42">
        <f>'sem2'!Q28</f>
        <v>0</v>
      </c>
      <c r="G25" s="42">
        <f>'sem3'!Q28</f>
        <v>0</v>
      </c>
      <c r="H25" s="42">
        <f>'sem4'!Q28</f>
        <v>0</v>
      </c>
      <c r="I25" s="23">
        <f t="shared" si="2"/>
        <v>0</v>
      </c>
      <c r="J25" s="24">
        <f>C25-I25</f>
        <v>75.132288000000017</v>
      </c>
    </row>
    <row r="26" spans="2:10" x14ac:dyDescent="0.25">
      <c r="B26" s="12" t="s">
        <v>18</v>
      </c>
      <c r="C26" s="25">
        <f>insumos!C26</f>
        <v>127.51358400000001</v>
      </c>
      <c r="D26" s="26">
        <f t="shared" si="4"/>
        <v>31.878396000000002</v>
      </c>
      <c r="E26" s="84">
        <f>'sem 1'!Q29</f>
        <v>0</v>
      </c>
      <c r="F26" s="42">
        <f>'sem2'!Q29</f>
        <v>0</v>
      </c>
      <c r="G26" s="42">
        <f>'sem3'!Q29</f>
        <v>0</v>
      </c>
      <c r="H26" s="42">
        <f>'sem4'!Q29</f>
        <v>0</v>
      </c>
      <c r="I26" s="23">
        <f t="shared" si="2"/>
        <v>0</v>
      </c>
      <c r="J26" s="24">
        <f>C26-I26</f>
        <v>127.51358400000001</v>
      </c>
    </row>
    <row r="27" spans="2:10" x14ac:dyDescent="0.25">
      <c r="B27" s="12" t="s">
        <v>162</v>
      </c>
      <c r="C27" s="25"/>
      <c r="D27" s="26"/>
      <c r="E27" s="84"/>
      <c r="F27" s="42"/>
      <c r="G27" s="42"/>
      <c r="H27" s="42"/>
      <c r="I27" s="23">
        <f t="shared" si="2"/>
        <v>0</v>
      </c>
      <c r="J27" s="24"/>
    </row>
    <row r="28" spans="2:10" x14ac:dyDescent="0.25">
      <c r="B28" s="12"/>
      <c r="C28" s="28"/>
      <c r="D28" s="26"/>
      <c r="E28" s="84"/>
      <c r="F28" s="42"/>
      <c r="G28" s="42"/>
      <c r="H28" s="42"/>
      <c r="I28" s="23">
        <f t="shared" si="2"/>
        <v>0</v>
      </c>
      <c r="J28" s="24"/>
    </row>
    <row r="29" spans="2:10" x14ac:dyDescent="0.25">
      <c r="B29" s="11" t="s">
        <v>19</v>
      </c>
      <c r="C29" s="20">
        <f>insumos!C28</f>
        <v>4323.9313217709532</v>
      </c>
      <c r="D29" s="27"/>
      <c r="E29" s="84"/>
      <c r="F29" s="42"/>
      <c r="G29" s="42"/>
      <c r="H29" s="42"/>
      <c r="I29" s="23">
        <f t="shared" si="2"/>
        <v>0</v>
      </c>
      <c r="J29" s="31">
        <f>(C29-I29)-SUM(I30:I32)</f>
        <v>3311.381321770953</v>
      </c>
    </row>
    <row r="30" spans="2:10" x14ac:dyDescent="0.25">
      <c r="B30" s="12" t="s">
        <v>20</v>
      </c>
      <c r="C30" s="25">
        <f>insumos!C29</f>
        <v>4131.6058224107055</v>
      </c>
      <c r="D30" s="26">
        <f t="shared" ref="D30:D32" si="5">C30/4</f>
        <v>1032.9014556026764</v>
      </c>
      <c r="E30" s="84">
        <f>'sem 1'!Q33</f>
        <v>928.55</v>
      </c>
      <c r="F30" s="42">
        <f>'sem2'!Q33</f>
        <v>0</v>
      </c>
      <c r="G30" s="42">
        <f>'sem3'!Q33</f>
        <v>0</v>
      </c>
      <c r="H30" s="42">
        <f>'sem4'!Q33</f>
        <v>0</v>
      </c>
      <c r="I30" s="23">
        <f t="shared" si="2"/>
        <v>928.55</v>
      </c>
      <c r="J30" s="24">
        <f>C30-I30</f>
        <v>3203.0558224107053</v>
      </c>
    </row>
    <row r="31" spans="2:10" x14ac:dyDescent="0.25">
      <c r="B31" s="12" t="s">
        <v>21</v>
      </c>
      <c r="C31" s="25">
        <f>insumos!C30</f>
        <v>90.54020457368722</v>
      </c>
      <c r="D31" s="26">
        <f t="shared" si="5"/>
        <v>22.635051143421805</v>
      </c>
      <c r="E31" s="84">
        <f>'sem 1'!Q34</f>
        <v>42</v>
      </c>
      <c r="F31" s="42">
        <f>'sem2'!Q34</f>
        <v>0</v>
      </c>
      <c r="G31" s="42">
        <f>'sem3'!Q34</f>
        <v>0</v>
      </c>
      <c r="H31" s="42">
        <f>'sem4'!Q34</f>
        <v>0</v>
      </c>
      <c r="I31" s="23">
        <f t="shared" si="2"/>
        <v>42</v>
      </c>
      <c r="J31" s="24">
        <f>C31-I31</f>
        <v>48.54020457368722</v>
      </c>
    </row>
    <row r="32" spans="2:10" x14ac:dyDescent="0.25">
      <c r="B32" s="12" t="s">
        <v>22</v>
      </c>
      <c r="C32" s="25">
        <f>insumos!C31</f>
        <v>101.78529478656002</v>
      </c>
      <c r="D32" s="26">
        <f t="shared" si="5"/>
        <v>25.446323696640004</v>
      </c>
      <c r="E32" s="84">
        <f>'sem 1'!Q35</f>
        <v>42</v>
      </c>
      <c r="F32" s="42">
        <f>'sem2'!Q35</f>
        <v>0</v>
      </c>
      <c r="G32" s="42">
        <f>'sem3'!Q35</f>
        <v>0</v>
      </c>
      <c r="H32" s="42">
        <f>'sem4'!Q35</f>
        <v>0</v>
      </c>
      <c r="I32" s="23">
        <f t="shared" si="2"/>
        <v>42</v>
      </c>
      <c r="J32" s="24">
        <f>C32-I32</f>
        <v>59.785294786560016</v>
      </c>
    </row>
    <row r="33" spans="2:10" x14ac:dyDescent="0.25">
      <c r="B33" s="12"/>
      <c r="C33" s="25"/>
      <c r="D33" s="26"/>
      <c r="E33" s="84"/>
      <c r="F33" s="42"/>
      <c r="G33" s="42"/>
      <c r="H33" s="42"/>
      <c r="I33" s="23">
        <f t="shared" si="2"/>
        <v>0</v>
      </c>
      <c r="J33" s="24"/>
    </row>
    <row r="34" spans="2:10" x14ac:dyDescent="0.25">
      <c r="B34" s="11" t="s">
        <v>23</v>
      </c>
      <c r="C34" s="20">
        <f>insumos!C34</f>
        <v>1564.0176949812571</v>
      </c>
      <c r="D34" s="27"/>
      <c r="E34" s="84"/>
      <c r="F34" s="42"/>
      <c r="G34" s="42"/>
      <c r="H34" s="42"/>
      <c r="I34" s="23">
        <f t="shared" si="2"/>
        <v>0</v>
      </c>
      <c r="J34" s="31">
        <f>(C34-I34)-SUM(I35:I45)</f>
        <v>1127.3176949812571</v>
      </c>
    </row>
    <row r="35" spans="2:10" x14ac:dyDescent="0.25">
      <c r="B35" s="12" t="s">
        <v>24</v>
      </c>
      <c r="C35" s="26">
        <f>insumos!C35</f>
        <v>287.5</v>
      </c>
      <c r="D35" s="26">
        <f t="shared" ref="D35:D44" si="6">C35/4</f>
        <v>71.875</v>
      </c>
      <c r="E35" s="84">
        <f>'sem 1'!Q38</f>
        <v>70</v>
      </c>
      <c r="F35" s="42">
        <f>'sem2'!Q38</f>
        <v>0</v>
      </c>
      <c r="G35" s="42">
        <f>'sem3'!Q38</f>
        <v>0</v>
      </c>
      <c r="H35" s="42">
        <f>'sem4'!Q38</f>
        <v>0</v>
      </c>
      <c r="I35" s="23">
        <f t="shared" si="2"/>
        <v>70</v>
      </c>
      <c r="J35" s="24">
        <f t="shared" ref="J35:J45" si="7">C35-I35</f>
        <v>217.5</v>
      </c>
    </row>
    <row r="36" spans="2:10" x14ac:dyDescent="0.25">
      <c r="B36" s="12" t="s">
        <v>25</v>
      </c>
      <c r="C36" s="26">
        <f>insumos!C36</f>
        <v>222.75</v>
      </c>
      <c r="D36" s="26">
        <f t="shared" si="6"/>
        <v>55.6875</v>
      </c>
      <c r="E36" s="84">
        <f>'sem 1'!Q39</f>
        <v>25</v>
      </c>
      <c r="F36" s="42">
        <f>'sem2'!Q39</f>
        <v>0</v>
      </c>
      <c r="G36" s="42">
        <f>'sem3'!Q39</f>
        <v>0</v>
      </c>
      <c r="H36" s="42">
        <f>'sem4'!Q39</f>
        <v>0</v>
      </c>
      <c r="I36" s="23">
        <f t="shared" si="2"/>
        <v>25</v>
      </c>
      <c r="J36" s="24">
        <f t="shared" si="7"/>
        <v>197.75</v>
      </c>
    </row>
    <row r="37" spans="2:10" x14ac:dyDescent="0.25">
      <c r="B37" s="12" t="s">
        <v>26</v>
      </c>
      <c r="C37" s="26">
        <f>insumos!C37</f>
        <v>134.16826069554287</v>
      </c>
      <c r="D37" s="26">
        <f t="shared" si="6"/>
        <v>33.542065173885717</v>
      </c>
      <c r="E37" s="84">
        <f>'sem 1'!Q40</f>
        <v>36.159999999999997</v>
      </c>
      <c r="F37" s="42">
        <f>'sem2'!Q40</f>
        <v>21.45</v>
      </c>
      <c r="G37" s="42">
        <f>'sem3'!Q40</f>
        <v>0</v>
      </c>
      <c r="H37" s="42">
        <f>'sem4'!Q40</f>
        <v>0</v>
      </c>
      <c r="I37" s="23">
        <f t="shared" si="2"/>
        <v>57.61</v>
      </c>
      <c r="J37" s="24">
        <f t="shared" si="7"/>
        <v>76.55826069554287</v>
      </c>
    </row>
    <row r="38" spans="2:10" x14ac:dyDescent="0.25">
      <c r="B38" s="12" t="s">
        <v>27</v>
      </c>
      <c r="C38" s="26">
        <f>insumos!C38</f>
        <v>0</v>
      </c>
      <c r="D38" s="26">
        <f t="shared" si="6"/>
        <v>0</v>
      </c>
      <c r="E38" s="84">
        <f>'sem 1'!Q41</f>
        <v>0</v>
      </c>
      <c r="F38" s="42">
        <f>'sem2'!Q41</f>
        <v>0</v>
      </c>
      <c r="G38" s="42">
        <f>'sem3'!Q41</f>
        <v>0</v>
      </c>
      <c r="H38" s="42">
        <f>'sem4'!Q41</f>
        <v>0</v>
      </c>
      <c r="I38" s="23">
        <f t="shared" si="2"/>
        <v>0</v>
      </c>
      <c r="J38" s="24">
        <f t="shared" si="7"/>
        <v>0</v>
      </c>
    </row>
    <row r="39" spans="2:10" x14ac:dyDescent="0.25">
      <c r="B39" s="12" t="s">
        <v>28</v>
      </c>
      <c r="C39" s="26">
        <f>insumos!C39</f>
        <v>5.9550000000000001</v>
      </c>
      <c r="D39" s="26">
        <f t="shared" si="6"/>
        <v>1.48875</v>
      </c>
      <c r="E39" s="84">
        <f>'sem 1'!Q42</f>
        <v>0</v>
      </c>
      <c r="F39" s="42">
        <f>'sem2'!Q42</f>
        <v>0</v>
      </c>
      <c r="G39" s="42">
        <f>'sem3'!Q42</f>
        <v>0</v>
      </c>
      <c r="H39" s="42">
        <f>'sem4'!Q42</f>
        <v>0</v>
      </c>
      <c r="I39" s="23">
        <f t="shared" si="2"/>
        <v>0</v>
      </c>
      <c r="J39" s="24">
        <f t="shared" si="7"/>
        <v>5.9550000000000001</v>
      </c>
    </row>
    <row r="40" spans="2:10" x14ac:dyDescent="0.25">
      <c r="B40" s="12" t="s">
        <v>29</v>
      </c>
      <c r="C40" s="26">
        <f>insumos!C40</f>
        <v>51.024819999999998</v>
      </c>
      <c r="D40" s="26">
        <f t="shared" si="6"/>
        <v>12.756205</v>
      </c>
      <c r="E40" s="84">
        <f>'sem 1'!Q43</f>
        <v>28</v>
      </c>
      <c r="F40" s="42">
        <f>'sem2'!Q43</f>
        <v>55</v>
      </c>
      <c r="G40" s="42">
        <f>'sem3'!Q43</f>
        <v>0</v>
      </c>
      <c r="H40" s="42">
        <f>'sem4'!Q43</f>
        <v>0</v>
      </c>
      <c r="I40" s="23">
        <f t="shared" si="2"/>
        <v>83</v>
      </c>
      <c r="J40" s="24">
        <f t="shared" si="7"/>
        <v>-31.975180000000002</v>
      </c>
    </row>
    <row r="41" spans="2:10" x14ac:dyDescent="0.25">
      <c r="B41" s="12" t="s">
        <v>30</v>
      </c>
      <c r="C41" s="26">
        <f>insumos!C41</f>
        <v>157.642</v>
      </c>
      <c r="D41" s="26">
        <f t="shared" si="6"/>
        <v>39.410499999999999</v>
      </c>
      <c r="E41" s="84">
        <f>'sem 1'!Q44</f>
        <v>25</v>
      </c>
      <c r="F41" s="42">
        <f>'sem2'!Q44</f>
        <v>0</v>
      </c>
      <c r="G41" s="42">
        <f>'sem3'!Q44</f>
        <v>0</v>
      </c>
      <c r="H41" s="42">
        <f>'sem4'!Q44</f>
        <v>0</v>
      </c>
      <c r="I41" s="23">
        <f t="shared" si="2"/>
        <v>25</v>
      </c>
      <c r="J41" s="24">
        <f t="shared" si="7"/>
        <v>132.642</v>
      </c>
    </row>
    <row r="42" spans="2:10" x14ac:dyDescent="0.25">
      <c r="B42" s="12" t="s">
        <v>31</v>
      </c>
      <c r="C42" s="26">
        <f>insumos!C42</f>
        <v>60.782559999999989</v>
      </c>
      <c r="D42" s="26">
        <f t="shared" si="6"/>
        <v>15.195639999999997</v>
      </c>
      <c r="E42" s="84">
        <f>'sem 1'!Q45</f>
        <v>0</v>
      </c>
      <c r="F42" s="42">
        <f>'sem2'!Q45</f>
        <v>8.5</v>
      </c>
      <c r="G42" s="42">
        <f>'sem3'!Q45</f>
        <v>0</v>
      </c>
      <c r="H42" s="42">
        <f>'sem4'!Q45</f>
        <v>0</v>
      </c>
      <c r="I42" s="23">
        <f t="shared" si="2"/>
        <v>8.5</v>
      </c>
      <c r="J42" s="24">
        <f t="shared" si="7"/>
        <v>52.282559999999989</v>
      </c>
    </row>
    <row r="43" spans="2:10" x14ac:dyDescent="0.25">
      <c r="B43" s="12" t="s">
        <v>32</v>
      </c>
      <c r="C43" s="26">
        <f>insumos!C43</f>
        <v>52.402740000000009</v>
      </c>
      <c r="D43" s="26">
        <f t="shared" si="6"/>
        <v>13.100685000000002</v>
      </c>
      <c r="E43" s="84">
        <f>'sem 1'!Q46</f>
        <v>17.77</v>
      </c>
      <c r="F43" s="42">
        <f>'sem2'!Q46</f>
        <v>0</v>
      </c>
      <c r="G43" s="42">
        <f>'sem3'!Q46</f>
        <v>0</v>
      </c>
      <c r="H43" s="42">
        <f>'sem4'!Q46</f>
        <v>0</v>
      </c>
      <c r="I43" s="23">
        <f t="shared" si="2"/>
        <v>17.77</v>
      </c>
      <c r="J43" s="24">
        <f t="shared" si="7"/>
        <v>34.632740000000013</v>
      </c>
    </row>
    <row r="44" spans="2:10" x14ac:dyDescent="0.25">
      <c r="B44" s="12" t="s">
        <v>33</v>
      </c>
      <c r="C44" s="26">
        <f>insumos!C44</f>
        <v>41.792314285714284</v>
      </c>
      <c r="D44" s="26">
        <f t="shared" si="6"/>
        <v>10.448078571428571</v>
      </c>
      <c r="E44" s="84">
        <f>'sem 1'!Q47</f>
        <v>2.95</v>
      </c>
      <c r="F44" s="42">
        <f>'sem2'!Q47</f>
        <v>0</v>
      </c>
      <c r="G44" s="42">
        <f>'sem3'!Q47</f>
        <v>0</v>
      </c>
      <c r="H44" s="42">
        <f>'sem4'!Q47</f>
        <v>0</v>
      </c>
      <c r="I44" s="23">
        <f t="shared" si="2"/>
        <v>2.95</v>
      </c>
      <c r="J44" s="24">
        <f t="shared" si="7"/>
        <v>38.842314285714281</v>
      </c>
    </row>
    <row r="45" spans="2:10" x14ac:dyDescent="0.25">
      <c r="B45" s="12" t="s">
        <v>154</v>
      </c>
      <c r="C45" s="26">
        <f>insumos!C45</f>
        <v>550</v>
      </c>
      <c r="D45" s="26">
        <f t="shared" ref="D45" si="8">C45/4</f>
        <v>137.5</v>
      </c>
      <c r="E45" s="84">
        <f>'sem 1'!Q48</f>
        <v>146.87</v>
      </c>
      <c r="F45" s="42">
        <f>'sem2'!Q48</f>
        <v>0</v>
      </c>
      <c r="G45" s="42">
        <f>'sem3'!Q48</f>
        <v>0</v>
      </c>
      <c r="H45" s="42">
        <f>'sem4'!Q48</f>
        <v>0</v>
      </c>
      <c r="I45" s="23">
        <f t="shared" si="2"/>
        <v>146.87</v>
      </c>
      <c r="J45" s="24">
        <f t="shared" si="7"/>
        <v>403.13</v>
      </c>
    </row>
    <row r="46" spans="2:10" x14ac:dyDescent="0.25">
      <c r="B46" s="12"/>
      <c r="C46" s="28"/>
      <c r="D46" s="26"/>
      <c r="E46" s="84"/>
      <c r="F46" s="42"/>
      <c r="G46" s="42"/>
      <c r="H46" s="42"/>
      <c r="I46" s="23">
        <f t="shared" si="2"/>
        <v>0</v>
      </c>
      <c r="J46" s="24"/>
    </row>
    <row r="47" spans="2:10" x14ac:dyDescent="0.25">
      <c r="B47" s="11" t="s">
        <v>34</v>
      </c>
      <c r="C47" s="20">
        <f>insumos!C48</f>
        <v>2526.2252885286666</v>
      </c>
      <c r="D47" s="26"/>
      <c r="E47" s="84"/>
      <c r="F47" s="42"/>
      <c r="G47" s="42"/>
      <c r="H47" s="42"/>
      <c r="I47" s="23">
        <f t="shared" si="2"/>
        <v>0</v>
      </c>
      <c r="J47" s="31">
        <f>(C47-I47)-SUM(I47:I48)</f>
        <v>838.22528852866662</v>
      </c>
    </row>
    <row r="48" spans="2:10" x14ac:dyDescent="0.25">
      <c r="B48" s="12" t="s">
        <v>35</v>
      </c>
      <c r="C48" s="28">
        <f>insumos!C49</f>
        <v>1826.2252885286666</v>
      </c>
      <c r="D48" s="26">
        <f t="shared" ref="D48:D60" si="9">C48/4</f>
        <v>456.55632213216666</v>
      </c>
      <c r="E48" s="84">
        <f>'sem 1'!Q88</f>
        <v>1688</v>
      </c>
      <c r="F48" s="42">
        <f>'sem2'!Q86</f>
        <v>0</v>
      </c>
      <c r="G48" s="42">
        <f>'sem3'!Q86</f>
        <v>0</v>
      </c>
      <c r="H48" s="42">
        <f>'sem4'!Q86</f>
        <v>0</v>
      </c>
      <c r="I48" s="23">
        <f t="shared" si="2"/>
        <v>1688</v>
      </c>
      <c r="J48" s="24">
        <f>C48-I48</f>
        <v>138.22528852866662</v>
      </c>
    </row>
    <row r="49" spans="2:11" x14ac:dyDescent="0.25">
      <c r="B49" s="12" t="s">
        <v>163</v>
      </c>
      <c r="C49" s="28">
        <f>'lista para compra'!D60+'lista para compra'!D61</f>
        <v>700</v>
      </c>
      <c r="D49" s="26">
        <f>'lista para compra'!E61</f>
        <v>75</v>
      </c>
      <c r="E49" s="84">
        <f>'sem 1'!Q89</f>
        <v>281.3</v>
      </c>
      <c r="F49" s="42">
        <f>'sem2'!Q87</f>
        <v>0</v>
      </c>
      <c r="G49" s="42">
        <f ca="1">'sem3'!Q87</f>
        <v>0</v>
      </c>
      <c r="H49" s="42">
        <f ca="1">'sem4'!Q87</f>
        <v>0</v>
      </c>
      <c r="I49" s="23">
        <f t="shared" ca="1" si="2"/>
        <v>0</v>
      </c>
      <c r="J49" s="24"/>
    </row>
    <row r="50" spans="2:11" x14ac:dyDescent="0.25">
      <c r="B50" s="12"/>
      <c r="C50" s="28"/>
      <c r="D50" s="26"/>
      <c r="E50" s="84"/>
      <c r="F50" s="42"/>
      <c r="G50" s="42"/>
      <c r="H50" s="42"/>
      <c r="I50" s="23">
        <f t="shared" si="2"/>
        <v>0</v>
      </c>
      <c r="J50" s="24"/>
    </row>
    <row r="51" spans="2:11" x14ac:dyDescent="0.25">
      <c r="B51" s="11" t="s">
        <v>36</v>
      </c>
      <c r="C51" s="29">
        <f>insumos!C54</f>
        <v>950</v>
      </c>
      <c r="D51" s="26">
        <f t="shared" si="9"/>
        <v>237.5</v>
      </c>
      <c r="E51" s="84">
        <f>'sem 1'!Q97</f>
        <v>827.84999999999991</v>
      </c>
      <c r="F51" s="42">
        <f>'sem2'!Q95</f>
        <v>0</v>
      </c>
      <c r="G51" s="42">
        <f>'sem3'!Q95</f>
        <v>0</v>
      </c>
      <c r="H51" s="42">
        <f>'sem4'!Q95</f>
        <v>0</v>
      </c>
      <c r="I51" s="23">
        <f t="shared" si="2"/>
        <v>827.84999999999991</v>
      </c>
      <c r="J51" s="31">
        <f>(C51-I51)</f>
        <v>122.15000000000009</v>
      </c>
    </row>
    <row r="52" spans="2:11" x14ac:dyDescent="0.25">
      <c r="B52" s="11"/>
      <c r="C52" s="29"/>
      <c r="D52" s="26"/>
      <c r="E52" s="84"/>
      <c r="F52" s="42"/>
      <c r="G52" s="42"/>
      <c r="H52" s="42"/>
      <c r="I52" s="23">
        <f t="shared" si="2"/>
        <v>0</v>
      </c>
      <c r="J52" s="31"/>
    </row>
    <row r="53" spans="2:11" x14ac:dyDescent="0.25">
      <c r="B53" s="11" t="s">
        <v>37</v>
      </c>
      <c r="C53" s="29">
        <f>insumos!C57</f>
        <v>3546.8975534787924</v>
      </c>
      <c r="D53" s="26"/>
      <c r="E53" s="84"/>
      <c r="F53" s="42"/>
      <c r="G53" s="42"/>
      <c r="H53" s="42"/>
      <c r="I53" s="23">
        <f t="shared" si="2"/>
        <v>0</v>
      </c>
      <c r="J53" s="31">
        <f>C53-(SUM(I53:I57))</f>
        <v>3048.0975534787922</v>
      </c>
    </row>
    <row r="54" spans="2:11" x14ac:dyDescent="0.25">
      <c r="B54" s="12" t="s">
        <v>38</v>
      </c>
      <c r="C54" s="28">
        <f>insumos!C58</f>
        <v>922.40603808326387</v>
      </c>
      <c r="D54" s="26">
        <f t="shared" si="9"/>
        <v>230.60150952081597</v>
      </c>
      <c r="E54" s="84">
        <f>'sem 1'!Q129</f>
        <v>126.8</v>
      </c>
      <c r="F54" s="42">
        <f>'sem2'!Q123</f>
        <v>0</v>
      </c>
      <c r="G54" s="42">
        <f>'sem3'!Q123</f>
        <v>0</v>
      </c>
      <c r="H54" s="42">
        <f>'sem4'!Q123</f>
        <v>0</v>
      </c>
      <c r="I54" s="23">
        <f t="shared" si="2"/>
        <v>126.8</v>
      </c>
      <c r="J54" s="24">
        <f>C54-I54</f>
        <v>795.60603808326391</v>
      </c>
      <c r="K54" s="6"/>
    </row>
    <row r="55" spans="2:11" x14ac:dyDescent="0.25">
      <c r="B55" s="12" t="s">
        <v>39</v>
      </c>
      <c r="C55" s="28">
        <f>insumos!C59</f>
        <v>335.81107742382073</v>
      </c>
      <c r="D55" s="26">
        <f t="shared" si="9"/>
        <v>83.952769355955184</v>
      </c>
      <c r="E55" s="84">
        <f>'sem 1'!Q130</f>
        <v>0</v>
      </c>
      <c r="F55" s="42">
        <f>'sem2'!Q124</f>
        <v>0</v>
      </c>
      <c r="G55" s="42">
        <f>'sem3'!Q124</f>
        <v>0</v>
      </c>
      <c r="H55" s="42">
        <f>'sem4'!Q124</f>
        <v>0</v>
      </c>
      <c r="I55" s="23">
        <f t="shared" si="2"/>
        <v>0</v>
      </c>
      <c r="J55" s="24">
        <f>C55-I55</f>
        <v>335.81107742382073</v>
      </c>
      <c r="K55" s="7"/>
    </row>
    <row r="56" spans="2:11" x14ac:dyDescent="0.25">
      <c r="B56" s="12" t="s">
        <v>40</v>
      </c>
      <c r="C56" s="28">
        <f>insumos!C60</f>
        <v>286.34869827170741</v>
      </c>
      <c r="D56" s="26">
        <f t="shared" si="9"/>
        <v>71.587174567926851</v>
      </c>
      <c r="E56" s="84">
        <f>'sem 1'!Q131</f>
        <v>168</v>
      </c>
      <c r="F56" s="42">
        <f>'sem2'!Q125</f>
        <v>0</v>
      </c>
      <c r="G56" s="42">
        <f>'sem3'!Q125</f>
        <v>0</v>
      </c>
      <c r="H56" s="42">
        <f>'sem4'!Q125</f>
        <v>0</v>
      </c>
      <c r="I56" s="23">
        <f t="shared" si="2"/>
        <v>168</v>
      </c>
      <c r="J56" s="24">
        <f>C56-I56</f>
        <v>118.34869827170741</v>
      </c>
    </row>
    <row r="57" spans="2:11" x14ac:dyDescent="0.25">
      <c r="B57" s="12" t="s">
        <v>41</v>
      </c>
      <c r="C57" s="28">
        <f>insumos!C61</f>
        <v>1205.9450480000003</v>
      </c>
      <c r="D57" s="26">
        <f t="shared" si="9"/>
        <v>301.48626200000007</v>
      </c>
      <c r="E57" s="84">
        <f>'sem 1'!Q132</f>
        <v>204</v>
      </c>
      <c r="F57" s="42">
        <f>'sem2'!Q126</f>
        <v>0</v>
      </c>
      <c r="G57" s="42">
        <f>'sem3'!Q126</f>
        <v>0</v>
      </c>
      <c r="H57" s="42">
        <f>'sem4'!Q126</f>
        <v>0</v>
      </c>
      <c r="I57" s="23">
        <f t="shared" si="2"/>
        <v>204</v>
      </c>
      <c r="J57" s="24">
        <f>C57-I57</f>
        <v>1001.9450480000003</v>
      </c>
    </row>
    <row r="58" spans="2:11" x14ac:dyDescent="0.25">
      <c r="B58" s="12" t="s">
        <v>161</v>
      </c>
      <c r="C58" s="28">
        <f>'lista para compra'!D72</f>
        <v>500</v>
      </c>
      <c r="D58" s="28">
        <f>'lista para compra'!E72</f>
        <v>125</v>
      </c>
      <c r="E58" s="84">
        <f>'sem 1'!Q133</f>
        <v>283.85000000000002</v>
      </c>
      <c r="F58" s="42">
        <f>'sem2'!Q127</f>
        <v>0</v>
      </c>
      <c r="G58" s="42">
        <f>'sem3'!Q127</f>
        <v>0</v>
      </c>
      <c r="H58" s="42">
        <f>'sem4'!Q127</f>
        <v>0</v>
      </c>
      <c r="I58" s="23"/>
      <c r="J58" s="24"/>
    </row>
    <row r="59" spans="2:11" x14ac:dyDescent="0.25">
      <c r="B59" s="12"/>
      <c r="C59" s="28"/>
      <c r="D59" s="26"/>
      <c r="E59" s="84"/>
      <c r="F59" s="42"/>
      <c r="G59" s="42"/>
      <c r="H59" s="42"/>
      <c r="I59" s="23">
        <f t="shared" si="2"/>
        <v>0</v>
      </c>
      <c r="J59" s="24"/>
    </row>
    <row r="60" spans="2:11" x14ac:dyDescent="0.25">
      <c r="B60" s="12" t="s">
        <v>42</v>
      </c>
      <c r="C60" s="29">
        <f>insumos!C65</f>
        <v>2150</v>
      </c>
      <c r="D60" s="26">
        <f t="shared" si="9"/>
        <v>537.5</v>
      </c>
      <c r="E60" s="84">
        <f>'sem 1'!Q151</f>
        <v>0</v>
      </c>
      <c r="F60" s="42">
        <f>'sem2'!Q144</f>
        <v>0</v>
      </c>
      <c r="G60" s="42">
        <f>'sem3'!Q144</f>
        <v>0</v>
      </c>
      <c r="H60" s="42">
        <f>'sem4'!Q144</f>
        <v>0</v>
      </c>
      <c r="I60" s="23">
        <f t="shared" si="2"/>
        <v>0</v>
      </c>
      <c r="J60" s="31">
        <f>C60-I60</f>
        <v>2150</v>
      </c>
      <c r="K60" s="83"/>
    </row>
    <row r="61" spans="2:11" x14ac:dyDescent="0.25">
      <c r="B61" s="34"/>
      <c r="C61" s="35"/>
      <c r="D61" s="36"/>
      <c r="E61" s="22"/>
      <c r="F61" s="82"/>
      <c r="G61" s="82"/>
      <c r="H61" s="82"/>
      <c r="I61" s="37"/>
      <c r="J61" s="38"/>
    </row>
    <row r="62" spans="2:11" x14ac:dyDescent="0.25">
      <c r="B62" s="34"/>
      <c r="C62" s="35"/>
      <c r="D62" s="36"/>
      <c r="E62" s="40" t="s">
        <v>62</v>
      </c>
      <c r="F62" s="40" t="s">
        <v>62</v>
      </c>
      <c r="G62" s="40" t="s">
        <v>62</v>
      </c>
      <c r="H62" s="40" t="s">
        <v>62</v>
      </c>
      <c r="I62" s="37"/>
      <c r="J62" s="38"/>
    </row>
    <row r="63" spans="2:11" ht="16.5" thickBot="1" x14ac:dyDescent="0.3">
      <c r="B63" s="13" t="s">
        <v>43</v>
      </c>
      <c r="C63" s="33">
        <f>SUM(C5+C23+C29+C34+C47+C51+C53+C60)</f>
        <v>20262.061999189555</v>
      </c>
      <c r="D63" s="39">
        <f>C63/4</f>
        <v>5065.5154997973887</v>
      </c>
      <c r="E63" s="86">
        <f>SUM(E6:E26)+SUM(E30:E32)+SUM(E35:E45)+SUM(E48:E60)</f>
        <v>5660.32</v>
      </c>
      <c r="F63" s="41"/>
      <c r="G63" s="41"/>
      <c r="H63" s="41"/>
      <c r="I63" s="30"/>
      <c r="J63" s="32"/>
    </row>
    <row r="64" spans="2:11" ht="15.75" thickBot="1" x14ac:dyDescent="0.3">
      <c r="J64" s="66">
        <f>SUM(E63:H63)</f>
        <v>5660.32</v>
      </c>
    </row>
    <row r="65" spans="5:5" x14ac:dyDescent="0.25">
      <c r="E65" s="85"/>
    </row>
  </sheetData>
  <phoneticPr fontId="7" type="noConversion"/>
  <conditionalFormatting sqref="E5:F29 E31:E32 E33:F63 F62:H63">
    <cfRule type="cellIs" dxfId="4" priority="20" operator="greaterThan">
      <formula>D5</formula>
    </cfRule>
  </conditionalFormatting>
  <conditionalFormatting sqref="E5:H29 E31:E32 E33:H63">
    <cfRule type="cellIs" dxfId="3" priority="22" operator="greaterThan">
      <formula>"d$D$5:$D$57"</formula>
    </cfRule>
  </conditionalFormatting>
  <conditionalFormatting sqref="E30:H30 F31:H32">
    <cfRule type="cellIs" dxfId="2" priority="1" operator="greaterThan">
      <formula>$C$30</formula>
    </cfRule>
  </conditionalFormatting>
  <conditionalFormatting sqref="G5:G29 G33:G63">
    <cfRule type="cellIs" dxfId="1" priority="26" operator="greaterThan">
      <formula>E5</formula>
    </cfRule>
  </conditionalFormatting>
  <conditionalFormatting sqref="H5:H29 H33:H63">
    <cfRule type="cellIs" dxfId="0" priority="24" operator="greaterThan">
      <formula>E5</formula>
    </cfRule>
  </conditionalFormatting>
  <pageMargins left="0.23622047244094491" right="0.23622047244094491" top="0.74803149606299213" bottom="0.74803149606299213" header="0.31496062992125984" footer="0.31496062992125984"/>
  <pageSetup scale="90" fitToHeight="0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52"/>
  <sheetViews>
    <sheetView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G20" sqref="G20"/>
    </sheetView>
  </sheetViews>
  <sheetFormatPr baseColWidth="10" defaultRowHeight="15" x14ac:dyDescent="0.25"/>
  <cols>
    <col min="1" max="1" width="42.140625" bestFit="1" customWidth="1"/>
    <col min="3" max="3" width="15.85546875" bestFit="1" customWidth="1"/>
    <col min="9" max="9" width="1.85546875" customWidth="1"/>
    <col min="17" max="17" width="12.140625" style="17" bestFit="1" customWidth="1"/>
  </cols>
  <sheetData>
    <row r="2" spans="1:17" ht="15.75" thickBot="1" x14ac:dyDescent="0.3"/>
    <row r="3" spans="1:17" x14ac:dyDescent="0.25">
      <c r="A3" s="9" t="s">
        <v>45</v>
      </c>
    </row>
    <row r="4" spans="1:17" x14ac:dyDescent="0.25">
      <c r="A4" s="11"/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</row>
    <row r="5" spans="1:17" x14ac:dyDescent="0.25">
      <c r="A5" s="11"/>
      <c r="B5" s="16">
        <v>45597</v>
      </c>
      <c r="C5" s="16">
        <v>45598</v>
      </c>
      <c r="D5" s="16">
        <v>45599</v>
      </c>
      <c r="E5" s="16">
        <v>45600</v>
      </c>
      <c r="F5" s="16">
        <v>45601</v>
      </c>
      <c r="G5" s="16">
        <v>45602</v>
      </c>
      <c r="H5" s="16">
        <v>45603</v>
      </c>
      <c r="J5" s="16">
        <v>45597</v>
      </c>
      <c r="K5" s="16">
        <v>45598</v>
      </c>
      <c r="L5" s="16">
        <v>45599</v>
      </c>
      <c r="M5" s="16">
        <v>45600</v>
      </c>
      <c r="N5" s="16">
        <v>45601</v>
      </c>
      <c r="O5" s="16">
        <v>45602</v>
      </c>
      <c r="P5" s="16">
        <v>45603</v>
      </c>
      <c r="Q5" s="18" t="s">
        <v>60</v>
      </c>
    </row>
    <row r="6" spans="1:17" x14ac:dyDescent="0.25">
      <c r="A6" s="11" t="s">
        <v>0</v>
      </c>
    </row>
    <row r="7" spans="1:17" x14ac:dyDescent="0.25">
      <c r="A7" s="12" t="s">
        <v>1</v>
      </c>
      <c r="Q7" s="17">
        <f t="shared" ref="Q7:Q47" si="0">SUM(B7:P7)</f>
        <v>0</v>
      </c>
    </row>
    <row r="8" spans="1:17" x14ac:dyDescent="0.25">
      <c r="A8" s="12" t="s">
        <v>2</v>
      </c>
      <c r="Q8" s="17">
        <f t="shared" si="0"/>
        <v>0</v>
      </c>
    </row>
    <row r="9" spans="1:17" x14ac:dyDescent="0.25">
      <c r="A9" s="12" t="s">
        <v>52</v>
      </c>
      <c r="H9">
        <v>137.91</v>
      </c>
      <c r="Q9" s="17">
        <f t="shared" si="0"/>
        <v>137.91</v>
      </c>
    </row>
    <row r="10" spans="1:17" x14ac:dyDescent="0.25">
      <c r="A10" s="12" t="s">
        <v>3</v>
      </c>
      <c r="K10">
        <v>29.34</v>
      </c>
      <c r="L10">
        <v>35.06</v>
      </c>
      <c r="N10">
        <v>29.31</v>
      </c>
      <c r="Q10" s="17">
        <f t="shared" si="0"/>
        <v>93.710000000000008</v>
      </c>
    </row>
    <row r="11" spans="1:17" x14ac:dyDescent="0.25">
      <c r="A11" s="12" t="s">
        <v>4</v>
      </c>
      <c r="Q11" s="17">
        <f t="shared" si="0"/>
        <v>0</v>
      </c>
    </row>
    <row r="12" spans="1:17" x14ac:dyDescent="0.25">
      <c r="A12" s="12" t="s">
        <v>5</v>
      </c>
      <c r="E12">
        <v>53.3</v>
      </c>
      <c r="Q12" s="17">
        <f t="shared" si="0"/>
        <v>53.3</v>
      </c>
    </row>
    <row r="13" spans="1:17" x14ac:dyDescent="0.25">
      <c r="A13" s="12" t="s">
        <v>6</v>
      </c>
      <c r="Q13" s="17">
        <f t="shared" si="0"/>
        <v>0</v>
      </c>
    </row>
    <row r="14" spans="1:17" x14ac:dyDescent="0.25">
      <c r="A14" s="12" t="s">
        <v>7</v>
      </c>
      <c r="H14">
        <v>137.91</v>
      </c>
      <c r="Q14" s="17">
        <f t="shared" si="0"/>
        <v>137.91</v>
      </c>
    </row>
    <row r="15" spans="1:17" x14ac:dyDescent="0.25">
      <c r="A15" s="12" t="s">
        <v>8</v>
      </c>
      <c r="E15">
        <v>48.17</v>
      </c>
      <c r="Q15" s="17">
        <f t="shared" si="0"/>
        <v>48.17</v>
      </c>
    </row>
    <row r="16" spans="1:17" x14ac:dyDescent="0.25">
      <c r="A16" s="12" t="s">
        <v>9</v>
      </c>
      <c r="E16">
        <v>35.880000000000003</v>
      </c>
      <c r="Q16" s="17">
        <f t="shared" si="0"/>
        <v>35.880000000000003</v>
      </c>
    </row>
    <row r="17" spans="1:17" x14ac:dyDescent="0.25">
      <c r="A17" s="12" t="s">
        <v>10</v>
      </c>
      <c r="E17">
        <v>9.6</v>
      </c>
      <c r="Q17" s="17">
        <f t="shared" si="0"/>
        <v>9.6</v>
      </c>
    </row>
    <row r="18" spans="1:17" x14ac:dyDescent="0.25">
      <c r="A18" s="12" t="s">
        <v>11</v>
      </c>
      <c r="Q18" s="17">
        <f t="shared" si="0"/>
        <v>0</v>
      </c>
    </row>
    <row r="19" spans="1:17" x14ac:dyDescent="0.25">
      <c r="A19" s="12" t="s">
        <v>12</v>
      </c>
      <c r="E19">
        <v>86.76</v>
      </c>
      <c r="Q19" s="17">
        <f t="shared" si="0"/>
        <v>86.76</v>
      </c>
    </row>
    <row r="20" spans="1:17" x14ac:dyDescent="0.25">
      <c r="A20" s="12" t="s">
        <v>13</v>
      </c>
      <c r="Q20" s="17">
        <f t="shared" si="0"/>
        <v>0</v>
      </c>
    </row>
    <row r="21" spans="1:17" x14ac:dyDescent="0.25">
      <c r="A21" s="12" t="s">
        <v>14</v>
      </c>
      <c r="Q21" s="17">
        <f t="shared" si="0"/>
        <v>0</v>
      </c>
    </row>
    <row r="22" spans="1:17" x14ac:dyDescent="0.25">
      <c r="A22" s="12" t="s">
        <v>153</v>
      </c>
      <c r="E22">
        <f>8.73+38.25</f>
        <v>46.980000000000004</v>
      </c>
      <c r="Q22" s="17">
        <f t="shared" si="0"/>
        <v>46.980000000000004</v>
      </c>
    </row>
    <row r="23" spans="1:17" x14ac:dyDescent="0.25">
      <c r="A23" s="12"/>
    </row>
    <row r="24" spans="1:17" x14ac:dyDescent="0.25">
      <c r="A24" s="12"/>
    </row>
    <row r="25" spans="1:17" x14ac:dyDescent="0.25">
      <c r="A25" s="12"/>
    </row>
    <row r="26" spans="1:17" x14ac:dyDescent="0.25">
      <c r="A26" s="11" t="s">
        <v>15</v>
      </c>
    </row>
    <row r="27" spans="1:17" x14ac:dyDescent="0.25">
      <c r="A27" s="12" t="s">
        <v>16</v>
      </c>
      <c r="G27">
        <v>66</v>
      </c>
      <c r="Q27" s="17">
        <f t="shared" si="0"/>
        <v>66</v>
      </c>
    </row>
    <row r="28" spans="1:17" x14ac:dyDescent="0.25">
      <c r="A28" s="12" t="s">
        <v>17</v>
      </c>
      <c r="Q28" s="17">
        <f t="shared" si="0"/>
        <v>0</v>
      </c>
    </row>
    <row r="29" spans="1:17" x14ac:dyDescent="0.25">
      <c r="A29" s="12" t="s">
        <v>18</v>
      </c>
      <c r="Q29" s="17">
        <f t="shared" si="0"/>
        <v>0</v>
      </c>
    </row>
    <row r="30" spans="1:17" x14ac:dyDescent="0.25">
      <c r="A30" s="12" t="s">
        <v>162</v>
      </c>
      <c r="Q30" s="17">
        <f t="shared" si="0"/>
        <v>0</v>
      </c>
    </row>
    <row r="31" spans="1:17" x14ac:dyDescent="0.25">
      <c r="A31" s="12"/>
    </row>
    <row r="32" spans="1:17" x14ac:dyDescent="0.25">
      <c r="A32" s="11" t="s">
        <v>19</v>
      </c>
    </row>
    <row r="33" spans="1:17" x14ac:dyDescent="0.25">
      <c r="A33" s="12" t="s">
        <v>20</v>
      </c>
      <c r="E33">
        <v>242</v>
      </c>
      <c r="H33">
        <v>686.55</v>
      </c>
      <c r="Q33" s="17">
        <f>SUM(C33:P33)</f>
        <v>928.55</v>
      </c>
    </row>
    <row r="34" spans="1:17" x14ac:dyDescent="0.25">
      <c r="A34" s="12" t="s">
        <v>21</v>
      </c>
      <c r="G34">
        <v>42</v>
      </c>
      <c r="Q34" s="17">
        <f t="shared" si="0"/>
        <v>42</v>
      </c>
    </row>
    <row r="35" spans="1:17" x14ac:dyDescent="0.25">
      <c r="A35" s="12" t="s">
        <v>22</v>
      </c>
      <c r="G35">
        <v>42</v>
      </c>
      <c r="Q35" s="17">
        <f t="shared" si="0"/>
        <v>42</v>
      </c>
    </row>
    <row r="36" spans="1:17" x14ac:dyDescent="0.25">
      <c r="A36" s="12"/>
    </row>
    <row r="37" spans="1:17" x14ac:dyDescent="0.25">
      <c r="A37" s="11" t="s">
        <v>23</v>
      </c>
    </row>
    <row r="38" spans="1:17" x14ac:dyDescent="0.25">
      <c r="A38" s="12" t="s">
        <v>24</v>
      </c>
      <c r="H38">
        <v>70</v>
      </c>
      <c r="Q38" s="17">
        <f t="shared" si="0"/>
        <v>70</v>
      </c>
    </row>
    <row r="39" spans="1:17" x14ac:dyDescent="0.25">
      <c r="A39" s="12" t="s">
        <v>25</v>
      </c>
      <c r="H39">
        <v>25</v>
      </c>
      <c r="Q39" s="17">
        <f t="shared" si="0"/>
        <v>25</v>
      </c>
    </row>
    <row r="40" spans="1:17" x14ac:dyDescent="0.25">
      <c r="A40" s="12" t="s">
        <v>26</v>
      </c>
      <c r="J40">
        <v>19</v>
      </c>
      <c r="L40">
        <v>17.16</v>
      </c>
      <c r="Q40" s="17">
        <f t="shared" si="0"/>
        <v>36.159999999999997</v>
      </c>
    </row>
    <row r="41" spans="1:17" x14ac:dyDescent="0.25">
      <c r="A41" s="12" t="s">
        <v>27</v>
      </c>
      <c r="Q41" s="17">
        <f t="shared" si="0"/>
        <v>0</v>
      </c>
    </row>
    <row r="42" spans="1:17" x14ac:dyDescent="0.25">
      <c r="A42" s="12" t="s">
        <v>28</v>
      </c>
      <c r="Q42" s="17">
        <f t="shared" si="0"/>
        <v>0</v>
      </c>
    </row>
    <row r="43" spans="1:17" x14ac:dyDescent="0.25">
      <c r="A43" s="12" t="s">
        <v>29</v>
      </c>
      <c r="J43">
        <v>28</v>
      </c>
      <c r="Q43" s="17">
        <f t="shared" si="0"/>
        <v>28</v>
      </c>
    </row>
    <row r="44" spans="1:17" x14ac:dyDescent="0.25">
      <c r="A44" s="12" t="s">
        <v>30</v>
      </c>
      <c r="G44">
        <v>25</v>
      </c>
      <c r="Q44" s="17">
        <f t="shared" si="0"/>
        <v>25</v>
      </c>
    </row>
    <row r="45" spans="1:17" x14ac:dyDescent="0.25">
      <c r="A45" s="12" t="s">
        <v>31</v>
      </c>
      <c r="Q45" s="17">
        <f t="shared" si="0"/>
        <v>0</v>
      </c>
    </row>
    <row r="46" spans="1:17" x14ac:dyDescent="0.25">
      <c r="A46" s="12" t="s">
        <v>32</v>
      </c>
      <c r="G46">
        <f>4.77+13</f>
        <v>17.77</v>
      </c>
      <c r="Q46" s="17">
        <f t="shared" si="0"/>
        <v>17.77</v>
      </c>
    </row>
    <row r="47" spans="1:17" x14ac:dyDescent="0.25">
      <c r="A47" s="12" t="s">
        <v>33</v>
      </c>
      <c r="G47">
        <v>2.95</v>
      </c>
      <c r="Q47" s="17">
        <f t="shared" si="0"/>
        <v>2.95</v>
      </c>
    </row>
    <row r="48" spans="1:17" x14ac:dyDescent="0.25">
      <c r="A48" s="12"/>
      <c r="Q48" s="17">
        <f>SUM(D49:P85)</f>
        <v>146.87</v>
      </c>
    </row>
    <row r="49" spans="1:12" x14ac:dyDescent="0.25">
      <c r="A49" s="12" t="s">
        <v>72</v>
      </c>
      <c r="B49">
        <v>18.329999999999998</v>
      </c>
    </row>
    <row r="50" spans="1:12" x14ac:dyDescent="0.25">
      <c r="A50" s="12" t="s">
        <v>80</v>
      </c>
    </row>
    <row r="51" spans="1:12" x14ac:dyDescent="0.25">
      <c r="A51" s="12" t="s">
        <v>85</v>
      </c>
    </row>
    <row r="52" spans="1:12" x14ac:dyDescent="0.25">
      <c r="A52" s="12" t="s">
        <v>86</v>
      </c>
    </row>
    <row r="53" spans="1:12" x14ac:dyDescent="0.25">
      <c r="A53" s="12" t="s">
        <v>84</v>
      </c>
    </row>
    <row r="54" spans="1:12" x14ac:dyDescent="0.25">
      <c r="A54" s="12" t="s">
        <v>88</v>
      </c>
      <c r="B54">
        <v>43.68</v>
      </c>
    </row>
    <row r="55" spans="1:12" x14ac:dyDescent="0.25">
      <c r="A55" s="12" t="s">
        <v>89</v>
      </c>
      <c r="L55">
        <v>12</v>
      </c>
    </row>
    <row r="56" spans="1:12" x14ac:dyDescent="0.25">
      <c r="A56" s="12" t="s">
        <v>91</v>
      </c>
      <c r="H56">
        <v>10</v>
      </c>
    </row>
    <row r="57" spans="1:12" x14ac:dyDescent="0.25">
      <c r="A57" s="12" t="s">
        <v>90</v>
      </c>
      <c r="E57">
        <v>86</v>
      </c>
    </row>
    <row r="58" spans="1:12" x14ac:dyDescent="0.25">
      <c r="A58" s="12" t="s">
        <v>93</v>
      </c>
      <c r="B58">
        <v>89.1</v>
      </c>
    </row>
    <row r="59" spans="1:12" x14ac:dyDescent="0.25">
      <c r="A59" s="12" t="s">
        <v>96</v>
      </c>
    </row>
    <row r="60" spans="1:12" x14ac:dyDescent="0.25">
      <c r="A60" s="12" t="s">
        <v>99</v>
      </c>
    </row>
    <row r="61" spans="1:12" x14ac:dyDescent="0.25">
      <c r="A61" s="12" t="s">
        <v>101</v>
      </c>
    </row>
    <row r="62" spans="1:12" x14ac:dyDescent="0.25">
      <c r="A62" s="12" t="s">
        <v>100</v>
      </c>
    </row>
    <row r="63" spans="1:12" x14ac:dyDescent="0.25">
      <c r="A63" s="12" t="s">
        <v>98</v>
      </c>
    </row>
    <row r="64" spans="1:12" ht="14.25" customHeight="1" x14ac:dyDescent="0.25">
      <c r="A64" s="12" t="s">
        <v>102</v>
      </c>
      <c r="B64">
        <v>15</v>
      </c>
    </row>
    <row r="65" spans="1:12" ht="17.25" customHeight="1" x14ac:dyDescent="0.25">
      <c r="A65" s="12" t="s">
        <v>97</v>
      </c>
    </row>
    <row r="66" spans="1:12" x14ac:dyDescent="0.25">
      <c r="A66" s="12" t="s">
        <v>104</v>
      </c>
      <c r="B66">
        <v>67.2</v>
      </c>
    </row>
    <row r="67" spans="1:12" x14ac:dyDescent="0.25">
      <c r="A67" s="12" t="s">
        <v>119</v>
      </c>
    </row>
    <row r="68" spans="1:12" x14ac:dyDescent="0.25">
      <c r="A68" s="12" t="s">
        <v>117</v>
      </c>
    </row>
    <row r="69" spans="1:12" x14ac:dyDescent="0.25">
      <c r="A69" s="12" t="s">
        <v>118</v>
      </c>
      <c r="B69">
        <v>8.64</v>
      </c>
    </row>
    <row r="70" spans="1:12" x14ac:dyDescent="0.25">
      <c r="A70" s="12" t="s">
        <v>121</v>
      </c>
    </row>
    <row r="71" spans="1:12" x14ac:dyDescent="0.25">
      <c r="A71" s="12" t="s">
        <v>128</v>
      </c>
    </row>
    <row r="72" spans="1:12" x14ac:dyDescent="0.25">
      <c r="A72" s="12" t="s">
        <v>122</v>
      </c>
    </row>
    <row r="73" spans="1:12" x14ac:dyDescent="0.25">
      <c r="A73" s="12" t="s">
        <v>125</v>
      </c>
    </row>
    <row r="74" spans="1:12" x14ac:dyDescent="0.25">
      <c r="A74" s="12" t="s">
        <v>124</v>
      </c>
    </row>
    <row r="75" spans="1:12" x14ac:dyDescent="0.25">
      <c r="A75" s="12" t="s">
        <v>127</v>
      </c>
    </row>
    <row r="76" spans="1:12" x14ac:dyDescent="0.25">
      <c r="A76" s="12" t="s">
        <v>105</v>
      </c>
      <c r="K76">
        <v>7.5</v>
      </c>
    </row>
    <row r="77" spans="1:12" x14ac:dyDescent="0.25">
      <c r="A77" s="12" t="s">
        <v>147</v>
      </c>
    </row>
    <row r="78" spans="1:12" x14ac:dyDescent="0.25">
      <c r="A78" s="12" t="s">
        <v>149</v>
      </c>
    </row>
    <row r="79" spans="1:12" x14ac:dyDescent="0.25">
      <c r="A79" s="12" t="s">
        <v>151</v>
      </c>
    </row>
    <row r="80" spans="1:12" x14ac:dyDescent="0.25">
      <c r="A80" s="12" t="s">
        <v>103</v>
      </c>
      <c r="L80">
        <v>17.899999999999999</v>
      </c>
    </row>
    <row r="81" spans="1:17" x14ac:dyDescent="0.25">
      <c r="A81" s="12" t="s">
        <v>177</v>
      </c>
      <c r="M81">
        <v>3.42</v>
      </c>
    </row>
    <row r="82" spans="1:17" x14ac:dyDescent="0.25">
      <c r="A82" s="12" t="s">
        <v>152</v>
      </c>
    </row>
    <row r="83" spans="1:17" x14ac:dyDescent="0.25">
      <c r="A83" s="12" t="s">
        <v>176</v>
      </c>
      <c r="M83">
        <v>10.050000000000001</v>
      </c>
    </row>
    <row r="84" spans="1:17" x14ac:dyDescent="0.25">
      <c r="A84" s="12" t="s">
        <v>136</v>
      </c>
    </row>
    <row r="85" spans="1:17" x14ac:dyDescent="0.25">
      <c r="A85" s="12" t="s">
        <v>87</v>
      </c>
    </row>
    <row r="86" spans="1:17" x14ac:dyDescent="0.25">
      <c r="A86" s="12"/>
    </row>
    <row r="87" spans="1:17" x14ac:dyDescent="0.25">
      <c r="A87" s="11" t="s">
        <v>34</v>
      </c>
    </row>
    <row r="88" spans="1:17" x14ac:dyDescent="0.25">
      <c r="A88" s="12" t="s">
        <v>35</v>
      </c>
      <c r="B88">
        <f>232+1176+140+140</f>
        <v>1688</v>
      </c>
      <c r="Q88" s="88">
        <f>SUM(B88:O88)</f>
        <v>1688</v>
      </c>
    </row>
    <row r="89" spans="1:17" x14ac:dyDescent="0.25">
      <c r="A89" s="12" t="s">
        <v>73</v>
      </c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8">
        <f>SUM(B89:P94)</f>
        <v>281.3</v>
      </c>
    </row>
    <row r="90" spans="1:17" x14ac:dyDescent="0.25">
      <c r="A90" s="12" t="s">
        <v>74</v>
      </c>
      <c r="B90" s="87">
        <v>178.75</v>
      </c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</row>
    <row r="91" spans="1:17" x14ac:dyDescent="0.25">
      <c r="A91" s="12" t="s">
        <v>75</v>
      </c>
      <c r="B91" s="87">
        <v>50.05</v>
      </c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</row>
    <row r="92" spans="1:17" x14ac:dyDescent="0.25">
      <c r="A92" s="12" t="s">
        <v>79</v>
      </c>
      <c r="C92" s="87"/>
      <c r="D92" s="87"/>
      <c r="E92" s="87">
        <v>52.5</v>
      </c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</row>
    <row r="93" spans="1:17" x14ac:dyDescent="0.25">
      <c r="A93" s="12" t="s">
        <v>108</v>
      </c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</row>
    <row r="94" spans="1:17" x14ac:dyDescent="0.25">
      <c r="A94" s="12" t="s">
        <v>107</v>
      </c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</row>
    <row r="95" spans="1:17" x14ac:dyDescent="0.25">
      <c r="A95" s="12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</row>
    <row r="96" spans="1:17" x14ac:dyDescent="0.25">
      <c r="A96" s="12"/>
    </row>
    <row r="97" spans="1:17" x14ac:dyDescent="0.25">
      <c r="A97" s="11" t="s">
        <v>36</v>
      </c>
      <c r="Q97" s="17">
        <f>SUM(B98:P126)</f>
        <v>827.84999999999991</v>
      </c>
    </row>
    <row r="98" spans="1:17" x14ac:dyDescent="0.25">
      <c r="A98" s="12" t="s">
        <v>70</v>
      </c>
      <c r="B98">
        <v>104</v>
      </c>
      <c r="J98">
        <v>14</v>
      </c>
    </row>
    <row r="99" spans="1:17" x14ac:dyDescent="0.25">
      <c r="A99" s="12" t="s">
        <v>71</v>
      </c>
      <c r="B99">
        <v>102</v>
      </c>
    </row>
    <row r="100" spans="1:17" x14ac:dyDescent="0.25">
      <c r="A100" s="12" t="s">
        <v>76</v>
      </c>
      <c r="B100">
        <v>91</v>
      </c>
    </row>
    <row r="101" spans="1:17" x14ac:dyDescent="0.25">
      <c r="A101" s="12" t="s">
        <v>77</v>
      </c>
      <c r="B101">
        <v>36</v>
      </c>
    </row>
    <row r="102" spans="1:17" x14ac:dyDescent="0.25">
      <c r="A102" s="12" t="s">
        <v>78</v>
      </c>
      <c r="B102">
        <v>63.2</v>
      </c>
    </row>
    <row r="103" spans="1:17" x14ac:dyDescent="0.25">
      <c r="A103" s="12" t="s">
        <v>81</v>
      </c>
    </row>
    <row r="104" spans="1:17" x14ac:dyDescent="0.25">
      <c r="A104" s="12" t="s">
        <v>145</v>
      </c>
      <c r="B104">
        <v>29.4</v>
      </c>
    </row>
    <row r="105" spans="1:17" x14ac:dyDescent="0.25">
      <c r="A105" s="12" t="s">
        <v>94</v>
      </c>
    </row>
    <row r="106" spans="1:17" x14ac:dyDescent="0.25">
      <c r="A106" s="12" t="s">
        <v>95</v>
      </c>
    </row>
    <row r="107" spans="1:17" x14ac:dyDescent="0.25">
      <c r="A107" s="12" t="s">
        <v>120</v>
      </c>
      <c r="B107">
        <v>28.8</v>
      </c>
      <c r="J107">
        <v>9.5</v>
      </c>
    </row>
    <row r="108" spans="1:17" x14ac:dyDescent="0.25">
      <c r="A108" s="12" t="s">
        <v>116</v>
      </c>
    </row>
    <row r="109" spans="1:17" x14ac:dyDescent="0.25">
      <c r="A109" s="12" t="s">
        <v>126</v>
      </c>
    </row>
    <row r="110" spans="1:17" x14ac:dyDescent="0.25">
      <c r="A110" s="12" t="s">
        <v>130</v>
      </c>
    </row>
    <row r="111" spans="1:17" x14ac:dyDescent="0.25">
      <c r="A111" s="12" t="s">
        <v>146</v>
      </c>
      <c r="B111">
        <v>30</v>
      </c>
    </row>
    <row r="112" spans="1:17" x14ac:dyDescent="0.25">
      <c r="A112" s="12" t="s">
        <v>135</v>
      </c>
      <c r="B112">
        <v>16.3</v>
      </c>
    </row>
    <row r="113" spans="1:10" x14ac:dyDescent="0.25">
      <c r="A113" s="12" t="s">
        <v>134</v>
      </c>
      <c r="B113">
        <v>50</v>
      </c>
      <c r="J113">
        <v>5.35</v>
      </c>
    </row>
    <row r="114" spans="1:10" x14ac:dyDescent="0.25">
      <c r="A114" s="12" t="s">
        <v>106</v>
      </c>
      <c r="B114">
        <v>78</v>
      </c>
    </row>
    <row r="115" spans="1:10" x14ac:dyDescent="0.25">
      <c r="A115" s="12" t="s">
        <v>143</v>
      </c>
    </row>
    <row r="116" spans="1:10" x14ac:dyDescent="0.25">
      <c r="A116" s="12" t="s">
        <v>141</v>
      </c>
    </row>
    <row r="117" spans="1:10" x14ac:dyDescent="0.25">
      <c r="A117" s="12" t="s">
        <v>144</v>
      </c>
    </row>
    <row r="118" spans="1:10" x14ac:dyDescent="0.25">
      <c r="A118" s="12" t="s">
        <v>148</v>
      </c>
    </row>
    <row r="119" spans="1:10" x14ac:dyDescent="0.25">
      <c r="A119" s="12" t="s">
        <v>179</v>
      </c>
      <c r="B119">
        <v>34.799999999999997</v>
      </c>
    </row>
    <row r="120" spans="1:10" x14ac:dyDescent="0.25">
      <c r="A120" s="12" t="s">
        <v>150</v>
      </c>
      <c r="B120">
        <v>22.4</v>
      </c>
    </row>
    <row r="121" spans="1:10" x14ac:dyDescent="0.25">
      <c r="A121" s="12" t="s">
        <v>180</v>
      </c>
      <c r="B121">
        <v>17.5</v>
      </c>
    </row>
    <row r="122" spans="1:10" x14ac:dyDescent="0.25">
      <c r="A122" s="12" t="s">
        <v>182</v>
      </c>
      <c r="B122">
        <v>44</v>
      </c>
    </row>
    <row r="123" spans="1:10" x14ac:dyDescent="0.25">
      <c r="A123" s="12" t="s">
        <v>181</v>
      </c>
      <c r="B123">
        <v>25</v>
      </c>
    </row>
    <row r="124" spans="1:10" x14ac:dyDescent="0.25">
      <c r="A124" s="12" t="s">
        <v>142</v>
      </c>
    </row>
    <row r="125" spans="1:10" x14ac:dyDescent="0.25">
      <c r="A125" s="12" t="s">
        <v>82</v>
      </c>
      <c r="B125">
        <v>26.6</v>
      </c>
    </row>
    <row r="126" spans="1:10" x14ac:dyDescent="0.25">
      <c r="A126" s="12"/>
    </row>
    <row r="127" spans="1:10" x14ac:dyDescent="0.25">
      <c r="A127" s="11"/>
    </row>
    <row r="128" spans="1:10" x14ac:dyDescent="0.25">
      <c r="A128" s="11" t="s">
        <v>37</v>
      </c>
    </row>
    <row r="129" spans="1:17" x14ac:dyDescent="0.25">
      <c r="A129" s="12" t="s">
        <v>38</v>
      </c>
      <c r="H129">
        <v>126.8</v>
      </c>
      <c r="Q129" s="17">
        <f>SUM(B129:P129)</f>
        <v>126.8</v>
      </c>
    </row>
    <row r="130" spans="1:17" x14ac:dyDescent="0.25">
      <c r="A130" s="12" t="s">
        <v>39</v>
      </c>
      <c r="Q130" s="17">
        <f>SUM(B130:P130)</f>
        <v>0</v>
      </c>
    </row>
    <row r="131" spans="1:17" x14ac:dyDescent="0.25">
      <c r="A131" s="12" t="s">
        <v>40</v>
      </c>
      <c r="E131">
        <v>96</v>
      </c>
      <c r="K131">
        <v>72</v>
      </c>
      <c r="Q131" s="17">
        <f>SUM(B131:P131)</f>
        <v>168</v>
      </c>
    </row>
    <row r="132" spans="1:17" x14ac:dyDescent="0.25">
      <c r="A132" s="12" t="s">
        <v>41</v>
      </c>
      <c r="B132">
        <v>204</v>
      </c>
      <c r="Q132" s="17">
        <f>SUM(B132:P132)</f>
        <v>204</v>
      </c>
    </row>
    <row r="133" spans="1:17" x14ac:dyDescent="0.25">
      <c r="A133" s="12" t="s">
        <v>63</v>
      </c>
      <c r="Q133" s="17">
        <f>SUM(B133:P150)</f>
        <v>283.85000000000002</v>
      </c>
    </row>
    <row r="134" spans="1:17" x14ac:dyDescent="0.25">
      <c r="A134" s="12" t="s">
        <v>64</v>
      </c>
      <c r="B134">
        <v>42</v>
      </c>
    </row>
    <row r="135" spans="1:17" x14ac:dyDescent="0.25">
      <c r="A135" s="12" t="s">
        <v>65</v>
      </c>
      <c r="B135">
        <v>27</v>
      </c>
    </row>
    <row r="136" spans="1:17" x14ac:dyDescent="0.25">
      <c r="A136" s="12" t="s">
        <v>66</v>
      </c>
      <c r="B136">
        <v>9</v>
      </c>
    </row>
    <row r="137" spans="1:17" x14ac:dyDescent="0.25">
      <c r="A137" s="12" t="s">
        <v>67</v>
      </c>
      <c r="B137">
        <v>16</v>
      </c>
    </row>
    <row r="138" spans="1:17" x14ac:dyDescent="0.25">
      <c r="A138" s="12" t="s">
        <v>129</v>
      </c>
    </row>
    <row r="139" spans="1:17" x14ac:dyDescent="0.25">
      <c r="A139" s="12" t="s">
        <v>109</v>
      </c>
      <c r="B139">
        <v>8</v>
      </c>
    </row>
    <row r="140" spans="1:17" x14ac:dyDescent="0.25">
      <c r="A140" s="12" t="s">
        <v>68</v>
      </c>
      <c r="N140">
        <v>7.35</v>
      </c>
    </row>
    <row r="141" spans="1:17" x14ac:dyDescent="0.25">
      <c r="A141" s="12" t="s">
        <v>110</v>
      </c>
    </row>
    <row r="142" spans="1:17" x14ac:dyDescent="0.25">
      <c r="A142" s="12" t="s">
        <v>83</v>
      </c>
      <c r="J142">
        <v>12.5</v>
      </c>
    </row>
    <row r="143" spans="1:17" x14ac:dyDescent="0.25">
      <c r="A143" s="12" t="s">
        <v>111</v>
      </c>
    </row>
    <row r="144" spans="1:17" x14ac:dyDescent="0.25">
      <c r="A144" s="12" t="s">
        <v>92</v>
      </c>
      <c r="G144">
        <v>138</v>
      </c>
    </row>
    <row r="145" spans="1:17" x14ac:dyDescent="0.25">
      <c r="A145" s="12" t="s">
        <v>112</v>
      </c>
    </row>
    <row r="146" spans="1:17" x14ac:dyDescent="0.25">
      <c r="A146" s="12" t="s">
        <v>140</v>
      </c>
      <c r="B146">
        <v>12</v>
      </c>
    </row>
    <row r="147" spans="1:17" x14ac:dyDescent="0.25">
      <c r="A147" s="12" t="s">
        <v>170</v>
      </c>
      <c r="B147">
        <v>10</v>
      </c>
    </row>
    <row r="148" spans="1:17" x14ac:dyDescent="0.25">
      <c r="A148" s="12" t="s">
        <v>139</v>
      </c>
    </row>
    <row r="149" spans="1:17" x14ac:dyDescent="0.25">
      <c r="A149" s="12" t="s">
        <v>69</v>
      </c>
      <c r="B149">
        <v>2</v>
      </c>
    </row>
    <row r="150" spans="1:17" x14ac:dyDescent="0.25">
      <c r="A150" s="12"/>
    </row>
    <row r="151" spans="1:17" x14ac:dyDescent="0.25">
      <c r="A151" s="12" t="s">
        <v>42</v>
      </c>
      <c r="Q151" s="17">
        <f>SUM(B151:P151)</f>
        <v>0</v>
      </c>
    </row>
    <row r="152" spans="1:17" ht="15.75" thickBot="1" x14ac:dyDescent="0.3">
      <c r="A152" s="13" t="s">
        <v>43</v>
      </c>
    </row>
  </sheetData>
  <autoFilter ref="A6:A15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Q14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53" sqref="E153"/>
    </sheetView>
  </sheetViews>
  <sheetFormatPr baseColWidth="10" defaultRowHeight="15" x14ac:dyDescent="0.25"/>
  <cols>
    <col min="1" max="1" width="42.140625" bestFit="1" customWidth="1"/>
    <col min="3" max="3" width="15.85546875" bestFit="1" customWidth="1"/>
    <col min="9" max="9" width="1.85546875" customWidth="1"/>
    <col min="17" max="17" width="12.140625" style="17" bestFit="1" customWidth="1"/>
  </cols>
  <sheetData>
    <row r="2" spans="1:17" ht="15.75" thickBot="1" x14ac:dyDescent="0.3"/>
    <row r="3" spans="1:17" x14ac:dyDescent="0.25">
      <c r="A3" s="9" t="s">
        <v>45</v>
      </c>
    </row>
    <row r="4" spans="1:17" x14ac:dyDescent="0.25">
      <c r="A4" s="11"/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</row>
    <row r="5" spans="1:17" x14ac:dyDescent="0.25">
      <c r="A5" s="11"/>
      <c r="B5" s="16">
        <v>45604</v>
      </c>
      <c r="C5" s="16">
        <v>45605</v>
      </c>
      <c r="D5" s="16">
        <v>45606</v>
      </c>
      <c r="E5" s="16">
        <v>45607</v>
      </c>
      <c r="F5" s="16">
        <v>45608</v>
      </c>
      <c r="G5" s="16">
        <v>45609</v>
      </c>
      <c r="H5" s="16">
        <v>45610</v>
      </c>
      <c r="J5" s="16">
        <v>45604</v>
      </c>
      <c r="K5" s="16">
        <v>45605</v>
      </c>
      <c r="L5" s="16">
        <v>45606</v>
      </c>
      <c r="M5" s="16">
        <v>45607</v>
      </c>
      <c r="N5" s="16">
        <v>45608</v>
      </c>
      <c r="O5" s="16">
        <v>45609</v>
      </c>
      <c r="P5" s="16">
        <v>45610</v>
      </c>
      <c r="Q5" s="18" t="s">
        <v>60</v>
      </c>
    </row>
    <row r="6" spans="1:17" x14ac:dyDescent="0.25">
      <c r="A6" s="11" t="s">
        <v>0</v>
      </c>
    </row>
    <row r="7" spans="1:17" hidden="1" x14ac:dyDescent="0.25">
      <c r="A7" s="12" t="s">
        <v>1</v>
      </c>
      <c r="B7">
        <v>249.09</v>
      </c>
      <c r="Q7" s="17">
        <f t="shared" ref="Q7:Q47" si="0">SUM(B7:P7)</f>
        <v>249.09</v>
      </c>
    </row>
    <row r="8" spans="1:17" hidden="1" x14ac:dyDescent="0.25">
      <c r="A8" s="12" t="s">
        <v>2</v>
      </c>
      <c r="Q8" s="17">
        <f t="shared" si="0"/>
        <v>0</v>
      </c>
    </row>
    <row r="9" spans="1:17" hidden="1" x14ac:dyDescent="0.25">
      <c r="A9" s="12" t="s">
        <v>52</v>
      </c>
      <c r="Q9" s="17">
        <f t="shared" si="0"/>
        <v>0</v>
      </c>
    </row>
    <row r="10" spans="1:17" hidden="1" x14ac:dyDescent="0.25">
      <c r="A10" s="12" t="s">
        <v>3</v>
      </c>
      <c r="B10">
        <v>24.32</v>
      </c>
      <c r="Q10" s="17">
        <f t="shared" si="0"/>
        <v>24.32</v>
      </c>
    </row>
    <row r="11" spans="1:17" hidden="1" x14ac:dyDescent="0.25">
      <c r="A11" s="12" t="s">
        <v>4</v>
      </c>
      <c r="Q11" s="17">
        <f t="shared" si="0"/>
        <v>0</v>
      </c>
    </row>
    <row r="12" spans="1:17" hidden="1" x14ac:dyDescent="0.25">
      <c r="A12" s="12" t="s">
        <v>5</v>
      </c>
      <c r="Q12" s="17">
        <f t="shared" si="0"/>
        <v>0</v>
      </c>
    </row>
    <row r="13" spans="1:17" hidden="1" x14ac:dyDescent="0.25">
      <c r="A13" s="12" t="s">
        <v>6</v>
      </c>
      <c r="Q13" s="17">
        <f t="shared" si="0"/>
        <v>0</v>
      </c>
    </row>
    <row r="14" spans="1:17" hidden="1" x14ac:dyDescent="0.25">
      <c r="A14" s="12" t="s">
        <v>7</v>
      </c>
      <c r="Q14" s="17">
        <f t="shared" si="0"/>
        <v>0</v>
      </c>
    </row>
    <row r="15" spans="1:17" hidden="1" x14ac:dyDescent="0.25">
      <c r="A15" s="12" t="s">
        <v>8</v>
      </c>
      <c r="Q15" s="17">
        <f t="shared" si="0"/>
        <v>0</v>
      </c>
    </row>
    <row r="16" spans="1:17" hidden="1" x14ac:dyDescent="0.25">
      <c r="A16" s="12" t="s">
        <v>9</v>
      </c>
      <c r="Q16" s="17">
        <f t="shared" si="0"/>
        <v>0</v>
      </c>
    </row>
    <row r="17" spans="1:17" hidden="1" x14ac:dyDescent="0.25">
      <c r="A17" s="12" t="s">
        <v>10</v>
      </c>
      <c r="Q17" s="17">
        <f t="shared" si="0"/>
        <v>0</v>
      </c>
    </row>
    <row r="18" spans="1:17" hidden="1" x14ac:dyDescent="0.25">
      <c r="A18" s="12" t="s">
        <v>11</v>
      </c>
      <c r="Q18" s="17">
        <f t="shared" si="0"/>
        <v>0</v>
      </c>
    </row>
    <row r="19" spans="1:17" hidden="1" x14ac:dyDescent="0.25">
      <c r="A19" s="12" t="s">
        <v>12</v>
      </c>
      <c r="Q19" s="17">
        <f t="shared" si="0"/>
        <v>0</v>
      </c>
    </row>
    <row r="20" spans="1:17" x14ac:dyDescent="0.25">
      <c r="A20" s="12" t="s">
        <v>13</v>
      </c>
      <c r="B20">
        <v>41.25</v>
      </c>
      <c r="Q20" s="17">
        <f t="shared" si="0"/>
        <v>41.25</v>
      </c>
    </row>
    <row r="21" spans="1:17" hidden="1" x14ac:dyDescent="0.25">
      <c r="A21" s="12" t="s">
        <v>14</v>
      </c>
      <c r="Q21" s="17">
        <f t="shared" si="0"/>
        <v>0</v>
      </c>
    </row>
    <row r="22" spans="1:17" hidden="1" x14ac:dyDescent="0.25">
      <c r="A22" s="12" t="s">
        <v>153</v>
      </c>
      <c r="Q22" s="17">
        <f t="shared" si="0"/>
        <v>0</v>
      </c>
    </row>
    <row r="23" spans="1:17" hidden="1" x14ac:dyDescent="0.25">
      <c r="A23" s="12"/>
    </row>
    <row r="24" spans="1:17" hidden="1" x14ac:dyDescent="0.25">
      <c r="A24" s="12"/>
    </row>
    <row r="25" spans="1:17" hidden="1" x14ac:dyDescent="0.25">
      <c r="A25" s="12"/>
    </row>
    <row r="26" spans="1:17" hidden="1" x14ac:dyDescent="0.25">
      <c r="A26" s="11" t="s">
        <v>15</v>
      </c>
    </row>
    <row r="27" spans="1:17" hidden="1" x14ac:dyDescent="0.25">
      <c r="A27" s="12" t="s">
        <v>16</v>
      </c>
      <c r="Q27" s="17">
        <f t="shared" si="0"/>
        <v>0</v>
      </c>
    </row>
    <row r="28" spans="1:17" hidden="1" x14ac:dyDescent="0.25">
      <c r="A28" s="12" t="s">
        <v>17</v>
      </c>
      <c r="Q28" s="17">
        <f t="shared" si="0"/>
        <v>0</v>
      </c>
    </row>
    <row r="29" spans="1:17" hidden="1" x14ac:dyDescent="0.25">
      <c r="A29" s="12" t="s">
        <v>18</v>
      </c>
      <c r="Q29" s="17">
        <f t="shared" si="0"/>
        <v>0</v>
      </c>
    </row>
    <row r="30" spans="1:17" hidden="1" x14ac:dyDescent="0.25">
      <c r="A30" s="12" t="s">
        <v>162</v>
      </c>
      <c r="Q30" s="17">
        <f t="shared" si="0"/>
        <v>0</v>
      </c>
    </row>
    <row r="31" spans="1:17" hidden="1" x14ac:dyDescent="0.25">
      <c r="A31" s="12"/>
    </row>
    <row r="32" spans="1:17" hidden="1" x14ac:dyDescent="0.25">
      <c r="A32" s="11" t="s">
        <v>19</v>
      </c>
    </row>
    <row r="33" spans="1:17" hidden="1" x14ac:dyDescent="0.25">
      <c r="A33" s="12" t="s">
        <v>20</v>
      </c>
      <c r="Q33" s="17">
        <f t="shared" si="0"/>
        <v>0</v>
      </c>
    </row>
    <row r="34" spans="1:17" hidden="1" x14ac:dyDescent="0.25">
      <c r="A34" s="12" t="s">
        <v>21</v>
      </c>
      <c r="Q34" s="17">
        <f t="shared" si="0"/>
        <v>0</v>
      </c>
    </row>
    <row r="35" spans="1:17" hidden="1" x14ac:dyDescent="0.25">
      <c r="A35" s="12" t="s">
        <v>22</v>
      </c>
      <c r="Q35" s="17">
        <f t="shared" si="0"/>
        <v>0</v>
      </c>
    </row>
    <row r="36" spans="1:17" hidden="1" x14ac:dyDescent="0.25">
      <c r="A36" s="12"/>
    </row>
    <row r="37" spans="1:17" hidden="1" x14ac:dyDescent="0.25">
      <c r="A37" s="11" t="s">
        <v>23</v>
      </c>
    </row>
    <row r="38" spans="1:17" hidden="1" x14ac:dyDescent="0.25">
      <c r="A38" s="12" t="s">
        <v>24</v>
      </c>
      <c r="Q38" s="17">
        <f t="shared" si="0"/>
        <v>0</v>
      </c>
    </row>
    <row r="39" spans="1:17" hidden="1" x14ac:dyDescent="0.25">
      <c r="A39" s="12" t="s">
        <v>25</v>
      </c>
      <c r="Q39" s="17">
        <f t="shared" si="0"/>
        <v>0</v>
      </c>
    </row>
    <row r="40" spans="1:17" hidden="1" x14ac:dyDescent="0.25">
      <c r="A40" s="12" t="s">
        <v>26</v>
      </c>
      <c r="B40">
        <v>21.45</v>
      </c>
      <c r="Q40" s="17">
        <f t="shared" si="0"/>
        <v>21.45</v>
      </c>
    </row>
    <row r="41" spans="1:17" hidden="1" x14ac:dyDescent="0.25">
      <c r="A41" s="12" t="s">
        <v>27</v>
      </c>
      <c r="Q41" s="17">
        <f t="shared" si="0"/>
        <v>0</v>
      </c>
    </row>
    <row r="42" spans="1:17" hidden="1" x14ac:dyDescent="0.25">
      <c r="A42" s="12" t="s">
        <v>28</v>
      </c>
      <c r="Q42" s="17">
        <f t="shared" si="0"/>
        <v>0</v>
      </c>
    </row>
    <row r="43" spans="1:17" hidden="1" x14ac:dyDescent="0.25">
      <c r="A43" s="12" t="s">
        <v>29</v>
      </c>
      <c r="B43">
        <v>55</v>
      </c>
      <c r="Q43" s="17">
        <f t="shared" si="0"/>
        <v>55</v>
      </c>
    </row>
    <row r="44" spans="1:17" hidden="1" x14ac:dyDescent="0.25">
      <c r="A44" s="12" t="s">
        <v>30</v>
      </c>
      <c r="Q44" s="17">
        <f t="shared" si="0"/>
        <v>0</v>
      </c>
    </row>
    <row r="45" spans="1:17" hidden="1" x14ac:dyDescent="0.25">
      <c r="A45" s="12" t="s">
        <v>31</v>
      </c>
      <c r="B45">
        <v>8.5</v>
      </c>
      <c r="Q45" s="17">
        <f t="shared" si="0"/>
        <v>8.5</v>
      </c>
    </row>
    <row r="46" spans="1:17" hidden="1" x14ac:dyDescent="0.25">
      <c r="A46" s="12" t="s">
        <v>32</v>
      </c>
      <c r="Q46" s="17">
        <f t="shared" si="0"/>
        <v>0</v>
      </c>
    </row>
    <row r="47" spans="1:17" hidden="1" x14ac:dyDescent="0.25">
      <c r="A47" s="12" t="s">
        <v>33</v>
      </c>
      <c r="Q47" s="17">
        <f t="shared" si="0"/>
        <v>0</v>
      </c>
    </row>
    <row r="48" spans="1:17" hidden="1" x14ac:dyDescent="0.25">
      <c r="A48" s="12"/>
      <c r="Q48" s="17">
        <f>SUM(D49:P83)</f>
        <v>0</v>
      </c>
    </row>
    <row r="49" spans="1:2" hidden="1" x14ac:dyDescent="0.25">
      <c r="A49" s="12" t="s">
        <v>72</v>
      </c>
      <c r="B49">
        <v>27.5</v>
      </c>
    </row>
    <row r="50" spans="1:2" hidden="1" x14ac:dyDescent="0.25">
      <c r="A50" s="12" t="s">
        <v>80</v>
      </c>
    </row>
    <row r="51" spans="1:2" hidden="1" x14ac:dyDescent="0.25">
      <c r="A51" s="12" t="s">
        <v>85</v>
      </c>
    </row>
    <row r="52" spans="1:2" hidden="1" x14ac:dyDescent="0.25">
      <c r="A52" s="12" t="s">
        <v>86</v>
      </c>
    </row>
    <row r="53" spans="1:2" hidden="1" x14ac:dyDescent="0.25">
      <c r="A53" s="12" t="s">
        <v>84</v>
      </c>
    </row>
    <row r="54" spans="1:2" hidden="1" x14ac:dyDescent="0.25">
      <c r="A54" s="12" t="s">
        <v>88</v>
      </c>
    </row>
    <row r="55" spans="1:2" hidden="1" x14ac:dyDescent="0.25">
      <c r="A55" s="12" t="s">
        <v>89</v>
      </c>
      <c r="B55">
        <v>35.96</v>
      </c>
    </row>
    <row r="56" spans="1:2" hidden="1" x14ac:dyDescent="0.25">
      <c r="A56" s="12" t="s">
        <v>91</v>
      </c>
    </row>
    <row r="57" spans="1:2" hidden="1" x14ac:dyDescent="0.25">
      <c r="A57" s="12" t="s">
        <v>90</v>
      </c>
    </row>
    <row r="58" spans="1:2" hidden="1" x14ac:dyDescent="0.25">
      <c r="A58" s="12" t="s">
        <v>93</v>
      </c>
    </row>
    <row r="59" spans="1:2" hidden="1" x14ac:dyDescent="0.25">
      <c r="A59" s="12" t="s">
        <v>96</v>
      </c>
    </row>
    <row r="60" spans="1:2" hidden="1" x14ac:dyDescent="0.25">
      <c r="A60" s="12" t="s">
        <v>99</v>
      </c>
    </row>
    <row r="61" spans="1:2" hidden="1" x14ac:dyDescent="0.25">
      <c r="A61" s="12" t="s">
        <v>101</v>
      </c>
    </row>
    <row r="62" spans="1:2" hidden="1" x14ac:dyDescent="0.25">
      <c r="A62" s="12" t="s">
        <v>100</v>
      </c>
    </row>
    <row r="63" spans="1:2" hidden="1" x14ac:dyDescent="0.25">
      <c r="A63" s="12" t="s">
        <v>98</v>
      </c>
    </row>
    <row r="64" spans="1:2" ht="14.25" hidden="1" customHeight="1" x14ac:dyDescent="0.25">
      <c r="A64" s="12" t="s">
        <v>102</v>
      </c>
    </row>
    <row r="65" spans="1:2" ht="17.25" hidden="1" customHeight="1" x14ac:dyDescent="0.25">
      <c r="A65" s="12" t="s">
        <v>97</v>
      </c>
    </row>
    <row r="66" spans="1:2" hidden="1" x14ac:dyDescent="0.25">
      <c r="A66" s="12" t="s">
        <v>104</v>
      </c>
    </row>
    <row r="67" spans="1:2" hidden="1" x14ac:dyDescent="0.25">
      <c r="A67" s="12" t="s">
        <v>119</v>
      </c>
    </row>
    <row r="68" spans="1:2" hidden="1" x14ac:dyDescent="0.25">
      <c r="A68" s="12" t="s">
        <v>117</v>
      </c>
    </row>
    <row r="69" spans="1:2" hidden="1" x14ac:dyDescent="0.25">
      <c r="A69" s="12" t="s">
        <v>118</v>
      </c>
    </row>
    <row r="70" spans="1:2" hidden="1" x14ac:dyDescent="0.25">
      <c r="A70" s="12" t="s">
        <v>121</v>
      </c>
    </row>
    <row r="71" spans="1:2" hidden="1" x14ac:dyDescent="0.25">
      <c r="A71" s="12" t="s">
        <v>128</v>
      </c>
    </row>
    <row r="72" spans="1:2" hidden="1" x14ac:dyDescent="0.25">
      <c r="A72" s="12" t="s">
        <v>122</v>
      </c>
    </row>
    <row r="73" spans="1:2" hidden="1" x14ac:dyDescent="0.25">
      <c r="A73" s="12" t="s">
        <v>125</v>
      </c>
    </row>
    <row r="74" spans="1:2" hidden="1" x14ac:dyDescent="0.25">
      <c r="A74" s="12" t="s">
        <v>124</v>
      </c>
    </row>
    <row r="75" spans="1:2" hidden="1" x14ac:dyDescent="0.25">
      <c r="A75" s="12" t="s">
        <v>127</v>
      </c>
    </row>
    <row r="76" spans="1:2" hidden="1" x14ac:dyDescent="0.25">
      <c r="A76" s="12" t="s">
        <v>105</v>
      </c>
    </row>
    <row r="77" spans="1:2" hidden="1" x14ac:dyDescent="0.25">
      <c r="A77" s="12" t="s">
        <v>147</v>
      </c>
    </row>
    <row r="78" spans="1:2" hidden="1" x14ac:dyDescent="0.25">
      <c r="A78" s="12" t="s">
        <v>149</v>
      </c>
    </row>
    <row r="79" spans="1:2" hidden="1" x14ac:dyDescent="0.25">
      <c r="A79" s="12" t="s">
        <v>151</v>
      </c>
    </row>
    <row r="80" spans="1:2" hidden="1" x14ac:dyDescent="0.25">
      <c r="A80" s="12" t="s">
        <v>103</v>
      </c>
      <c r="B80">
        <v>45</v>
      </c>
    </row>
    <row r="81" spans="1:17" hidden="1" x14ac:dyDescent="0.25">
      <c r="A81" s="12" t="s">
        <v>152</v>
      </c>
    </row>
    <row r="82" spans="1:17" hidden="1" x14ac:dyDescent="0.25">
      <c r="A82" s="12" t="s">
        <v>136</v>
      </c>
    </row>
    <row r="83" spans="1:17" hidden="1" x14ac:dyDescent="0.25">
      <c r="A83" s="12" t="s">
        <v>87</v>
      </c>
    </row>
    <row r="84" spans="1:17" hidden="1" x14ac:dyDescent="0.25">
      <c r="A84" s="12"/>
    </row>
    <row r="85" spans="1:17" hidden="1" x14ac:dyDescent="0.25">
      <c r="A85" s="11" t="s">
        <v>34</v>
      </c>
    </row>
    <row r="86" spans="1:17" hidden="1" x14ac:dyDescent="0.25">
      <c r="A86" s="12" t="s">
        <v>35</v>
      </c>
      <c r="Q86" s="17">
        <f>SUM(B86:P86)</f>
        <v>0</v>
      </c>
    </row>
    <row r="87" spans="1:17" hidden="1" x14ac:dyDescent="0.25">
      <c r="A87" s="12" t="s">
        <v>73</v>
      </c>
      <c r="Q87" s="17">
        <f>SUM(B87:P92)</f>
        <v>0</v>
      </c>
    </row>
    <row r="88" spans="1:17" hidden="1" x14ac:dyDescent="0.25">
      <c r="A88" s="12" t="s">
        <v>74</v>
      </c>
    </row>
    <row r="89" spans="1:17" hidden="1" x14ac:dyDescent="0.25">
      <c r="A89" s="12" t="s">
        <v>75</v>
      </c>
    </row>
    <row r="90" spans="1:17" hidden="1" x14ac:dyDescent="0.25">
      <c r="A90" s="12" t="s">
        <v>79</v>
      </c>
    </row>
    <row r="91" spans="1:17" hidden="1" x14ac:dyDescent="0.25">
      <c r="A91" s="12" t="s">
        <v>108</v>
      </c>
    </row>
    <row r="92" spans="1:17" hidden="1" x14ac:dyDescent="0.25">
      <c r="A92" s="12" t="s">
        <v>107</v>
      </c>
    </row>
    <row r="93" spans="1:17" hidden="1" x14ac:dyDescent="0.25">
      <c r="A93" s="12"/>
    </row>
    <row r="94" spans="1:17" hidden="1" x14ac:dyDescent="0.25">
      <c r="A94" s="12"/>
    </row>
    <row r="95" spans="1:17" hidden="1" x14ac:dyDescent="0.25">
      <c r="A95" s="11" t="s">
        <v>36</v>
      </c>
      <c r="Q95" s="17">
        <f>SUM(B96:P120)</f>
        <v>0</v>
      </c>
    </row>
    <row r="96" spans="1:17" hidden="1" x14ac:dyDescent="0.25">
      <c r="A96" s="12" t="s">
        <v>70</v>
      </c>
    </row>
    <row r="97" spans="1:1" hidden="1" x14ac:dyDescent="0.25">
      <c r="A97" s="12" t="s">
        <v>71</v>
      </c>
    </row>
    <row r="98" spans="1:1" hidden="1" x14ac:dyDescent="0.25">
      <c r="A98" s="12" t="s">
        <v>76</v>
      </c>
    </row>
    <row r="99" spans="1:1" hidden="1" x14ac:dyDescent="0.25">
      <c r="A99" s="12" t="s">
        <v>77</v>
      </c>
    </row>
    <row r="100" spans="1:1" hidden="1" x14ac:dyDescent="0.25">
      <c r="A100" s="12" t="s">
        <v>78</v>
      </c>
    </row>
    <row r="101" spans="1:1" hidden="1" x14ac:dyDescent="0.25">
      <c r="A101" s="12" t="s">
        <v>81</v>
      </c>
    </row>
    <row r="102" spans="1:1" hidden="1" x14ac:dyDescent="0.25">
      <c r="A102" s="12" t="s">
        <v>145</v>
      </c>
    </row>
    <row r="103" spans="1:1" hidden="1" x14ac:dyDescent="0.25">
      <c r="A103" s="12" t="s">
        <v>94</v>
      </c>
    </row>
    <row r="104" spans="1:1" hidden="1" x14ac:dyDescent="0.25">
      <c r="A104" s="12" t="s">
        <v>95</v>
      </c>
    </row>
    <row r="105" spans="1:1" hidden="1" x14ac:dyDescent="0.25">
      <c r="A105" s="12" t="s">
        <v>120</v>
      </c>
    </row>
    <row r="106" spans="1:1" hidden="1" x14ac:dyDescent="0.25">
      <c r="A106" s="12" t="s">
        <v>116</v>
      </c>
    </row>
    <row r="107" spans="1:1" hidden="1" x14ac:dyDescent="0.25">
      <c r="A107" s="12" t="s">
        <v>126</v>
      </c>
    </row>
    <row r="108" spans="1:1" hidden="1" x14ac:dyDescent="0.25">
      <c r="A108" s="12" t="s">
        <v>130</v>
      </c>
    </row>
    <row r="109" spans="1:1" hidden="1" x14ac:dyDescent="0.25">
      <c r="A109" s="12" t="s">
        <v>146</v>
      </c>
    </row>
    <row r="110" spans="1:1" hidden="1" x14ac:dyDescent="0.25">
      <c r="A110" s="12" t="s">
        <v>135</v>
      </c>
    </row>
    <row r="111" spans="1:1" hidden="1" x14ac:dyDescent="0.25">
      <c r="A111" s="12" t="s">
        <v>134</v>
      </c>
    </row>
    <row r="112" spans="1:1" hidden="1" x14ac:dyDescent="0.25">
      <c r="A112" s="12" t="s">
        <v>106</v>
      </c>
    </row>
    <row r="113" spans="1:17" hidden="1" x14ac:dyDescent="0.25">
      <c r="A113" s="12" t="s">
        <v>143</v>
      </c>
    </row>
    <row r="114" spans="1:17" hidden="1" x14ac:dyDescent="0.25">
      <c r="A114" s="12" t="s">
        <v>141</v>
      </c>
    </row>
    <row r="115" spans="1:17" hidden="1" x14ac:dyDescent="0.25">
      <c r="A115" s="12" t="s">
        <v>144</v>
      </c>
    </row>
    <row r="116" spans="1:17" hidden="1" x14ac:dyDescent="0.25">
      <c r="A116" s="12" t="s">
        <v>148</v>
      </c>
    </row>
    <row r="117" spans="1:17" hidden="1" x14ac:dyDescent="0.25">
      <c r="A117" s="12" t="s">
        <v>150</v>
      </c>
    </row>
    <row r="118" spans="1:17" hidden="1" x14ac:dyDescent="0.25">
      <c r="A118" s="12" t="s">
        <v>142</v>
      </c>
    </row>
    <row r="119" spans="1:17" hidden="1" x14ac:dyDescent="0.25">
      <c r="A119" s="12" t="s">
        <v>82</v>
      </c>
    </row>
    <row r="120" spans="1:17" hidden="1" x14ac:dyDescent="0.25">
      <c r="A120" s="12"/>
    </row>
    <row r="121" spans="1:17" hidden="1" x14ac:dyDescent="0.25">
      <c r="A121" s="11"/>
    </row>
    <row r="122" spans="1:17" hidden="1" x14ac:dyDescent="0.25">
      <c r="A122" s="11" t="s">
        <v>37</v>
      </c>
    </row>
    <row r="123" spans="1:17" hidden="1" x14ac:dyDescent="0.25">
      <c r="A123" s="12" t="s">
        <v>38</v>
      </c>
      <c r="Q123" s="17">
        <f>SUM(B123:P123)</f>
        <v>0</v>
      </c>
    </row>
    <row r="124" spans="1:17" hidden="1" x14ac:dyDescent="0.25">
      <c r="A124" s="12" t="s">
        <v>39</v>
      </c>
      <c r="Q124" s="17">
        <f>SUM(B124:P124)</f>
        <v>0</v>
      </c>
    </row>
    <row r="125" spans="1:17" hidden="1" x14ac:dyDescent="0.25">
      <c r="A125" s="12" t="s">
        <v>40</v>
      </c>
      <c r="Q125" s="17">
        <f>SUM(B125:P125)</f>
        <v>0</v>
      </c>
    </row>
    <row r="126" spans="1:17" hidden="1" x14ac:dyDescent="0.25">
      <c r="A126" s="12" t="s">
        <v>41</v>
      </c>
      <c r="Q126" s="17">
        <f>SUM(B126:P126)</f>
        <v>0</v>
      </c>
    </row>
    <row r="127" spans="1:17" hidden="1" x14ac:dyDescent="0.25">
      <c r="A127" s="12" t="s">
        <v>63</v>
      </c>
      <c r="Q127" s="17">
        <f>SUM(B127:P143)</f>
        <v>0</v>
      </c>
    </row>
    <row r="128" spans="1:17" hidden="1" x14ac:dyDescent="0.25">
      <c r="A128" s="12" t="s">
        <v>64</v>
      </c>
    </row>
    <row r="129" spans="1:17" hidden="1" x14ac:dyDescent="0.25">
      <c r="A129" s="12" t="s">
        <v>65</v>
      </c>
    </row>
    <row r="130" spans="1:17" hidden="1" x14ac:dyDescent="0.25">
      <c r="A130" s="12" t="s">
        <v>66</v>
      </c>
    </row>
    <row r="131" spans="1:17" hidden="1" x14ac:dyDescent="0.25">
      <c r="A131" s="12" t="s">
        <v>67</v>
      </c>
    </row>
    <row r="132" spans="1:17" hidden="1" x14ac:dyDescent="0.25">
      <c r="A132" s="12" t="s">
        <v>129</v>
      </c>
    </row>
    <row r="133" spans="1:17" hidden="1" x14ac:dyDescent="0.25">
      <c r="A133" s="12" t="s">
        <v>109</v>
      </c>
    </row>
    <row r="134" spans="1:17" hidden="1" x14ac:dyDescent="0.25">
      <c r="A134" s="12" t="s">
        <v>68</v>
      </c>
    </row>
    <row r="135" spans="1:17" hidden="1" x14ac:dyDescent="0.25">
      <c r="A135" s="12" t="s">
        <v>110</v>
      </c>
    </row>
    <row r="136" spans="1:17" hidden="1" x14ac:dyDescent="0.25">
      <c r="A136" s="12" t="s">
        <v>83</v>
      </c>
    </row>
    <row r="137" spans="1:17" hidden="1" x14ac:dyDescent="0.25">
      <c r="A137" s="12" t="s">
        <v>111</v>
      </c>
    </row>
    <row r="138" spans="1:17" hidden="1" x14ac:dyDescent="0.25">
      <c r="A138" s="12" t="s">
        <v>92</v>
      </c>
    </row>
    <row r="139" spans="1:17" hidden="1" x14ac:dyDescent="0.25">
      <c r="A139" s="12" t="s">
        <v>112</v>
      </c>
    </row>
    <row r="140" spans="1:17" hidden="1" x14ac:dyDescent="0.25">
      <c r="A140" s="12" t="s">
        <v>140</v>
      </c>
    </row>
    <row r="141" spans="1:17" hidden="1" x14ac:dyDescent="0.25">
      <c r="A141" s="12" t="s">
        <v>139</v>
      </c>
    </row>
    <row r="142" spans="1:17" hidden="1" x14ac:dyDescent="0.25">
      <c r="A142" s="12" t="s">
        <v>69</v>
      </c>
    </row>
    <row r="143" spans="1:17" hidden="1" x14ac:dyDescent="0.25">
      <c r="A143" s="12"/>
    </row>
    <row r="144" spans="1:17" hidden="1" x14ac:dyDescent="0.25">
      <c r="A144" s="12" t="s">
        <v>42</v>
      </c>
      <c r="Q144" s="17">
        <f>SUM(B144:P144)</f>
        <v>0</v>
      </c>
    </row>
    <row r="145" spans="1:1" ht="15.75" hidden="1" thickBot="1" x14ac:dyDescent="0.3">
      <c r="A145" s="13" t="s">
        <v>43</v>
      </c>
    </row>
  </sheetData>
  <autoFilter ref="A6:A145" xr:uid="{00000000-0009-0000-0000-000004000000}">
    <filterColumn colId="0">
      <filters>
        <filter val="higado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4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2" sqref="K12"/>
    </sheetView>
  </sheetViews>
  <sheetFormatPr baseColWidth="10" defaultRowHeight="15" x14ac:dyDescent="0.25"/>
  <cols>
    <col min="1" max="1" width="42.140625" bestFit="1" customWidth="1"/>
    <col min="3" max="3" width="15.85546875" bestFit="1" customWidth="1"/>
    <col min="9" max="9" width="1.85546875" customWidth="1"/>
    <col min="17" max="17" width="12.140625" style="17" bestFit="1" customWidth="1"/>
  </cols>
  <sheetData>
    <row r="2" spans="1:17" ht="15.75" thickBot="1" x14ac:dyDescent="0.3"/>
    <row r="3" spans="1:17" x14ac:dyDescent="0.25">
      <c r="A3" s="9" t="s">
        <v>45</v>
      </c>
    </row>
    <row r="4" spans="1:17" x14ac:dyDescent="0.25">
      <c r="A4" s="11"/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</row>
    <row r="5" spans="1:17" x14ac:dyDescent="0.25">
      <c r="A5" s="11"/>
      <c r="B5" s="16">
        <v>45611</v>
      </c>
      <c r="C5" s="16">
        <v>45612</v>
      </c>
      <c r="D5" s="16">
        <v>45613</v>
      </c>
      <c r="E5" s="16">
        <v>45614</v>
      </c>
      <c r="F5" s="16">
        <v>45615</v>
      </c>
      <c r="G5" s="16">
        <v>45616</v>
      </c>
      <c r="H5" s="16">
        <v>45617</v>
      </c>
      <c r="J5" s="16">
        <v>45611</v>
      </c>
      <c r="K5" s="16">
        <v>45612</v>
      </c>
      <c r="L5" s="16">
        <v>45613</v>
      </c>
      <c r="M5" s="16">
        <v>45614</v>
      </c>
      <c r="N5" s="16">
        <v>45615</v>
      </c>
      <c r="O5" s="16">
        <v>45616</v>
      </c>
      <c r="P5" s="16">
        <v>45617</v>
      </c>
      <c r="Q5" s="18" t="s">
        <v>60</v>
      </c>
    </row>
    <row r="6" spans="1:17" x14ac:dyDescent="0.25">
      <c r="A6" s="11" t="s">
        <v>0</v>
      </c>
    </row>
    <row r="7" spans="1:17" x14ac:dyDescent="0.25">
      <c r="A7" s="12" t="s">
        <v>1</v>
      </c>
      <c r="Q7" s="17">
        <f t="shared" ref="Q7:Q47" si="0">SUM(B7:P7)</f>
        <v>0</v>
      </c>
    </row>
    <row r="8" spans="1:17" x14ac:dyDescent="0.25">
      <c r="A8" s="12" t="s">
        <v>2</v>
      </c>
      <c r="Q8" s="17">
        <f t="shared" si="0"/>
        <v>0</v>
      </c>
    </row>
    <row r="9" spans="1:17" x14ac:dyDescent="0.25">
      <c r="A9" s="12" t="s">
        <v>52</v>
      </c>
      <c r="Q9" s="17">
        <f t="shared" si="0"/>
        <v>0</v>
      </c>
    </row>
    <row r="10" spans="1:17" x14ac:dyDescent="0.25">
      <c r="A10" s="12" t="s">
        <v>3</v>
      </c>
      <c r="Q10" s="17">
        <f t="shared" si="0"/>
        <v>0</v>
      </c>
    </row>
    <row r="11" spans="1:17" x14ac:dyDescent="0.25">
      <c r="A11" s="12" t="s">
        <v>4</v>
      </c>
      <c r="Q11" s="17">
        <f t="shared" si="0"/>
        <v>0</v>
      </c>
    </row>
    <row r="12" spans="1:17" x14ac:dyDescent="0.25">
      <c r="A12" s="12" t="s">
        <v>5</v>
      </c>
      <c r="Q12" s="17">
        <f t="shared" si="0"/>
        <v>0</v>
      </c>
    </row>
    <row r="13" spans="1:17" x14ac:dyDescent="0.25">
      <c r="A13" s="12" t="s">
        <v>6</v>
      </c>
      <c r="Q13" s="17">
        <f t="shared" si="0"/>
        <v>0</v>
      </c>
    </row>
    <row r="14" spans="1:17" x14ac:dyDescent="0.25">
      <c r="A14" s="12" t="s">
        <v>7</v>
      </c>
      <c r="Q14" s="17">
        <f t="shared" si="0"/>
        <v>0</v>
      </c>
    </row>
    <row r="15" spans="1:17" x14ac:dyDescent="0.25">
      <c r="A15" s="12" t="s">
        <v>8</v>
      </c>
      <c r="Q15" s="17">
        <f t="shared" si="0"/>
        <v>0</v>
      </c>
    </row>
    <row r="16" spans="1:17" x14ac:dyDescent="0.25">
      <c r="A16" s="12" t="s">
        <v>9</v>
      </c>
      <c r="Q16" s="17">
        <f t="shared" si="0"/>
        <v>0</v>
      </c>
    </row>
    <row r="17" spans="1:17" x14ac:dyDescent="0.25">
      <c r="A17" s="12" t="s">
        <v>10</v>
      </c>
      <c r="Q17" s="17">
        <f t="shared" si="0"/>
        <v>0</v>
      </c>
    </row>
    <row r="18" spans="1:17" x14ac:dyDescent="0.25">
      <c r="A18" s="12" t="s">
        <v>11</v>
      </c>
      <c r="Q18" s="17">
        <f t="shared" si="0"/>
        <v>0</v>
      </c>
    </row>
    <row r="19" spans="1:17" x14ac:dyDescent="0.25">
      <c r="A19" s="12" t="s">
        <v>12</v>
      </c>
      <c r="Q19" s="17">
        <f t="shared" si="0"/>
        <v>0</v>
      </c>
    </row>
    <row r="20" spans="1:17" x14ac:dyDescent="0.25">
      <c r="A20" s="12" t="s">
        <v>13</v>
      </c>
      <c r="Q20" s="17">
        <f t="shared" si="0"/>
        <v>0</v>
      </c>
    </row>
    <row r="21" spans="1:17" x14ac:dyDescent="0.25">
      <c r="A21" s="12" t="s">
        <v>14</v>
      </c>
      <c r="Q21" s="17">
        <f t="shared" si="0"/>
        <v>0</v>
      </c>
    </row>
    <row r="22" spans="1:17" x14ac:dyDescent="0.25">
      <c r="A22" s="12" t="s">
        <v>153</v>
      </c>
      <c r="Q22" s="17">
        <f t="shared" si="0"/>
        <v>0</v>
      </c>
    </row>
    <row r="23" spans="1:17" x14ac:dyDescent="0.25">
      <c r="A23" s="12"/>
    </row>
    <row r="24" spans="1:17" x14ac:dyDescent="0.25">
      <c r="A24" s="12"/>
    </row>
    <row r="25" spans="1:17" x14ac:dyDescent="0.25">
      <c r="A25" s="12"/>
    </row>
    <row r="26" spans="1:17" x14ac:dyDescent="0.25">
      <c r="A26" s="11" t="s">
        <v>15</v>
      </c>
    </row>
    <row r="27" spans="1:17" x14ac:dyDescent="0.25">
      <c r="A27" s="12" t="s">
        <v>16</v>
      </c>
      <c r="Q27" s="17">
        <f t="shared" si="0"/>
        <v>0</v>
      </c>
    </row>
    <row r="28" spans="1:17" x14ac:dyDescent="0.25">
      <c r="A28" s="12" t="s">
        <v>17</v>
      </c>
      <c r="Q28" s="17">
        <f t="shared" si="0"/>
        <v>0</v>
      </c>
    </row>
    <row r="29" spans="1:17" x14ac:dyDescent="0.25">
      <c r="A29" s="12" t="s">
        <v>18</v>
      </c>
      <c r="Q29" s="17">
        <f t="shared" si="0"/>
        <v>0</v>
      </c>
    </row>
    <row r="30" spans="1:17" x14ac:dyDescent="0.25">
      <c r="A30" s="12" t="s">
        <v>162</v>
      </c>
      <c r="Q30" s="17">
        <f t="shared" si="0"/>
        <v>0</v>
      </c>
    </row>
    <row r="31" spans="1:17" x14ac:dyDescent="0.25">
      <c r="A31" s="12"/>
    </row>
    <row r="32" spans="1:17" x14ac:dyDescent="0.25">
      <c r="A32" s="11" t="s">
        <v>19</v>
      </c>
    </row>
    <row r="33" spans="1:17" x14ac:dyDescent="0.25">
      <c r="A33" s="12" t="s">
        <v>20</v>
      </c>
      <c r="Q33" s="17">
        <f t="shared" si="0"/>
        <v>0</v>
      </c>
    </row>
    <row r="34" spans="1:17" x14ac:dyDescent="0.25">
      <c r="A34" s="12" t="s">
        <v>21</v>
      </c>
      <c r="Q34" s="17">
        <f t="shared" si="0"/>
        <v>0</v>
      </c>
    </row>
    <row r="35" spans="1:17" x14ac:dyDescent="0.25">
      <c r="A35" s="12" t="s">
        <v>22</v>
      </c>
      <c r="Q35" s="17">
        <f t="shared" si="0"/>
        <v>0</v>
      </c>
    </row>
    <row r="36" spans="1:17" x14ac:dyDescent="0.25">
      <c r="A36" s="12"/>
    </row>
    <row r="37" spans="1:17" x14ac:dyDescent="0.25">
      <c r="A37" s="11" t="s">
        <v>23</v>
      </c>
    </row>
    <row r="38" spans="1:17" x14ac:dyDescent="0.25">
      <c r="A38" s="12" t="s">
        <v>24</v>
      </c>
      <c r="Q38" s="17">
        <f t="shared" si="0"/>
        <v>0</v>
      </c>
    </row>
    <row r="39" spans="1:17" x14ac:dyDescent="0.25">
      <c r="A39" s="12" t="s">
        <v>25</v>
      </c>
      <c r="Q39" s="17">
        <f t="shared" si="0"/>
        <v>0</v>
      </c>
    </row>
    <row r="40" spans="1:17" x14ac:dyDescent="0.25">
      <c r="A40" s="12" t="s">
        <v>26</v>
      </c>
      <c r="Q40" s="17">
        <f t="shared" si="0"/>
        <v>0</v>
      </c>
    </row>
    <row r="41" spans="1:17" x14ac:dyDescent="0.25">
      <c r="A41" s="12" t="s">
        <v>27</v>
      </c>
      <c r="Q41" s="17">
        <f t="shared" si="0"/>
        <v>0</v>
      </c>
    </row>
    <row r="42" spans="1:17" x14ac:dyDescent="0.25">
      <c r="A42" s="12" t="s">
        <v>28</v>
      </c>
      <c r="Q42" s="17">
        <f t="shared" si="0"/>
        <v>0</v>
      </c>
    </row>
    <row r="43" spans="1:17" x14ac:dyDescent="0.25">
      <c r="A43" s="12" t="s">
        <v>29</v>
      </c>
      <c r="Q43" s="17">
        <f t="shared" si="0"/>
        <v>0</v>
      </c>
    </row>
    <row r="44" spans="1:17" x14ac:dyDescent="0.25">
      <c r="A44" s="12" t="s">
        <v>30</v>
      </c>
      <c r="Q44" s="17">
        <f t="shared" si="0"/>
        <v>0</v>
      </c>
    </row>
    <row r="45" spans="1:17" x14ac:dyDescent="0.25">
      <c r="A45" s="12" t="s">
        <v>31</v>
      </c>
      <c r="Q45" s="17">
        <f t="shared" si="0"/>
        <v>0</v>
      </c>
    </row>
    <row r="46" spans="1:17" x14ac:dyDescent="0.25">
      <c r="A46" s="12" t="s">
        <v>32</v>
      </c>
      <c r="Q46" s="17">
        <f t="shared" si="0"/>
        <v>0</v>
      </c>
    </row>
    <row r="47" spans="1:17" x14ac:dyDescent="0.25">
      <c r="A47" s="12" t="s">
        <v>33</v>
      </c>
      <c r="Q47" s="17">
        <f t="shared" si="0"/>
        <v>0</v>
      </c>
    </row>
    <row r="48" spans="1:17" x14ac:dyDescent="0.25">
      <c r="A48" s="12"/>
      <c r="Q48" s="17">
        <f>SUM(D49:P83)</f>
        <v>0</v>
      </c>
    </row>
    <row r="49" spans="1:1" x14ac:dyDescent="0.25">
      <c r="A49" s="12" t="s">
        <v>72</v>
      </c>
    </row>
    <row r="50" spans="1:1" x14ac:dyDescent="0.25">
      <c r="A50" s="12" t="s">
        <v>80</v>
      </c>
    </row>
    <row r="51" spans="1:1" x14ac:dyDescent="0.25">
      <c r="A51" s="12" t="s">
        <v>85</v>
      </c>
    </row>
    <row r="52" spans="1:1" x14ac:dyDescent="0.25">
      <c r="A52" s="12" t="s">
        <v>86</v>
      </c>
    </row>
    <row r="53" spans="1:1" x14ac:dyDescent="0.25">
      <c r="A53" s="12" t="s">
        <v>84</v>
      </c>
    </row>
    <row r="54" spans="1:1" x14ac:dyDescent="0.25">
      <c r="A54" s="12" t="s">
        <v>88</v>
      </c>
    </row>
    <row r="55" spans="1:1" x14ac:dyDescent="0.25">
      <c r="A55" s="12" t="s">
        <v>89</v>
      </c>
    </row>
    <row r="56" spans="1:1" x14ac:dyDescent="0.25">
      <c r="A56" s="12" t="s">
        <v>91</v>
      </c>
    </row>
    <row r="57" spans="1:1" x14ac:dyDescent="0.25">
      <c r="A57" s="12" t="s">
        <v>90</v>
      </c>
    </row>
    <row r="58" spans="1:1" x14ac:dyDescent="0.25">
      <c r="A58" s="12" t="s">
        <v>93</v>
      </c>
    </row>
    <row r="59" spans="1:1" x14ac:dyDescent="0.25">
      <c r="A59" s="12" t="s">
        <v>96</v>
      </c>
    </row>
    <row r="60" spans="1:1" x14ac:dyDescent="0.25">
      <c r="A60" s="12" t="s">
        <v>99</v>
      </c>
    </row>
    <row r="61" spans="1:1" x14ac:dyDescent="0.25">
      <c r="A61" s="12" t="s">
        <v>101</v>
      </c>
    </row>
    <row r="62" spans="1:1" x14ac:dyDescent="0.25">
      <c r="A62" s="12" t="s">
        <v>100</v>
      </c>
    </row>
    <row r="63" spans="1:1" x14ac:dyDescent="0.25">
      <c r="A63" s="12" t="s">
        <v>98</v>
      </c>
    </row>
    <row r="64" spans="1:1" ht="14.25" customHeight="1" x14ac:dyDescent="0.25">
      <c r="A64" s="12" t="s">
        <v>102</v>
      </c>
    </row>
    <row r="65" spans="1:1" ht="17.25" customHeight="1" x14ac:dyDescent="0.25">
      <c r="A65" s="12" t="s">
        <v>97</v>
      </c>
    </row>
    <row r="66" spans="1:1" x14ac:dyDescent="0.25">
      <c r="A66" s="12" t="s">
        <v>104</v>
      </c>
    </row>
    <row r="67" spans="1:1" x14ac:dyDescent="0.25">
      <c r="A67" s="12" t="s">
        <v>119</v>
      </c>
    </row>
    <row r="68" spans="1:1" x14ac:dyDescent="0.25">
      <c r="A68" s="12" t="s">
        <v>117</v>
      </c>
    </row>
    <row r="69" spans="1:1" x14ac:dyDescent="0.25">
      <c r="A69" s="12" t="s">
        <v>118</v>
      </c>
    </row>
    <row r="70" spans="1:1" x14ac:dyDescent="0.25">
      <c r="A70" s="12" t="s">
        <v>121</v>
      </c>
    </row>
    <row r="71" spans="1:1" x14ac:dyDescent="0.25">
      <c r="A71" s="12" t="s">
        <v>128</v>
      </c>
    </row>
    <row r="72" spans="1:1" x14ac:dyDescent="0.25">
      <c r="A72" s="12" t="s">
        <v>122</v>
      </c>
    </row>
    <row r="73" spans="1:1" x14ac:dyDescent="0.25">
      <c r="A73" s="12" t="s">
        <v>125</v>
      </c>
    </row>
    <row r="74" spans="1:1" x14ac:dyDescent="0.25">
      <c r="A74" s="12" t="s">
        <v>124</v>
      </c>
    </row>
    <row r="75" spans="1:1" x14ac:dyDescent="0.25">
      <c r="A75" s="12" t="s">
        <v>127</v>
      </c>
    </row>
    <row r="76" spans="1:1" x14ac:dyDescent="0.25">
      <c r="A76" s="12" t="s">
        <v>105</v>
      </c>
    </row>
    <row r="77" spans="1:1" x14ac:dyDescent="0.25">
      <c r="A77" s="12" t="s">
        <v>147</v>
      </c>
    </row>
    <row r="78" spans="1:1" x14ac:dyDescent="0.25">
      <c r="A78" s="12" t="s">
        <v>149</v>
      </c>
    </row>
    <row r="79" spans="1:1" x14ac:dyDescent="0.25">
      <c r="A79" s="12" t="s">
        <v>151</v>
      </c>
    </row>
    <row r="80" spans="1:1" x14ac:dyDescent="0.25">
      <c r="A80" s="12" t="s">
        <v>103</v>
      </c>
    </row>
    <row r="81" spans="1:17" x14ac:dyDescent="0.25">
      <c r="A81" s="12" t="s">
        <v>152</v>
      </c>
    </row>
    <row r="82" spans="1:17" x14ac:dyDescent="0.25">
      <c r="A82" s="12" t="s">
        <v>136</v>
      </c>
    </row>
    <row r="83" spans="1:17" x14ac:dyDescent="0.25">
      <c r="A83" s="12" t="s">
        <v>87</v>
      </c>
    </row>
    <row r="84" spans="1:17" x14ac:dyDescent="0.25">
      <c r="A84" s="12"/>
    </row>
    <row r="85" spans="1:17" x14ac:dyDescent="0.25">
      <c r="A85" s="11" t="s">
        <v>34</v>
      </c>
    </row>
    <row r="86" spans="1:17" x14ac:dyDescent="0.25">
      <c r="A86" s="12" t="s">
        <v>35</v>
      </c>
      <c r="Q86" s="17">
        <f>SUM(B86:O86)</f>
        <v>0</v>
      </c>
    </row>
    <row r="87" spans="1:17" x14ac:dyDescent="0.25">
      <c r="A87" s="12" t="s">
        <v>73</v>
      </c>
      <c r="Q87" s="17">
        <f ca="1">SUM(F87:Q93)</f>
        <v>0</v>
      </c>
    </row>
    <row r="88" spans="1:17" x14ac:dyDescent="0.25">
      <c r="A88" s="12" t="s">
        <v>74</v>
      </c>
    </row>
    <row r="89" spans="1:17" x14ac:dyDescent="0.25">
      <c r="A89" s="12" t="s">
        <v>75</v>
      </c>
    </row>
    <row r="90" spans="1:17" x14ac:dyDescent="0.25">
      <c r="A90" s="12" t="s">
        <v>79</v>
      </c>
    </row>
    <row r="91" spans="1:17" x14ac:dyDescent="0.25">
      <c r="A91" s="12" t="s">
        <v>108</v>
      </c>
    </row>
    <row r="92" spans="1:17" x14ac:dyDescent="0.25">
      <c r="A92" s="12" t="s">
        <v>107</v>
      </c>
    </row>
    <row r="93" spans="1:17" x14ac:dyDescent="0.25">
      <c r="A93" s="12"/>
    </row>
    <row r="94" spans="1:17" x14ac:dyDescent="0.25">
      <c r="A94" s="12"/>
    </row>
    <row r="95" spans="1:17" x14ac:dyDescent="0.25">
      <c r="A95" s="11" t="s">
        <v>36</v>
      </c>
      <c r="Q95" s="17">
        <f>SUM(B96:P120)</f>
        <v>0</v>
      </c>
    </row>
    <row r="96" spans="1:17" x14ac:dyDescent="0.25">
      <c r="A96" s="12" t="s">
        <v>70</v>
      </c>
    </row>
    <row r="97" spans="1:1" x14ac:dyDescent="0.25">
      <c r="A97" s="12" t="s">
        <v>71</v>
      </c>
    </row>
    <row r="98" spans="1:1" x14ac:dyDescent="0.25">
      <c r="A98" s="12" t="s">
        <v>76</v>
      </c>
    </row>
    <row r="99" spans="1:1" x14ac:dyDescent="0.25">
      <c r="A99" s="12" t="s">
        <v>77</v>
      </c>
    </row>
    <row r="100" spans="1:1" x14ac:dyDescent="0.25">
      <c r="A100" s="12" t="s">
        <v>78</v>
      </c>
    </row>
    <row r="101" spans="1:1" x14ac:dyDescent="0.25">
      <c r="A101" s="12" t="s">
        <v>81</v>
      </c>
    </row>
    <row r="102" spans="1:1" x14ac:dyDescent="0.25">
      <c r="A102" s="12" t="s">
        <v>145</v>
      </c>
    </row>
    <row r="103" spans="1:1" x14ac:dyDescent="0.25">
      <c r="A103" s="12" t="s">
        <v>94</v>
      </c>
    </row>
    <row r="104" spans="1:1" x14ac:dyDescent="0.25">
      <c r="A104" s="12" t="s">
        <v>95</v>
      </c>
    </row>
    <row r="105" spans="1:1" x14ac:dyDescent="0.25">
      <c r="A105" s="12" t="s">
        <v>120</v>
      </c>
    </row>
    <row r="106" spans="1:1" x14ac:dyDescent="0.25">
      <c r="A106" s="12" t="s">
        <v>116</v>
      </c>
    </row>
    <row r="107" spans="1:1" x14ac:dyDescent="0.25">
      <c r="A107" s="12" t="s">
        <v>126</v>
      </c>
    </row>
    <row r="108" spans="1:1" x14ac:dyDescent="0.25">
      <c r="A108" s="12" t="s">
        <v>130</v>
      </c>
    </row>
    <row r="109" spans="1:1" x14ac:dyDescent="0.25">
      <c r="A109" s="12" t="s">
        <v>146</v>
      </c>
    </row>
    <row r="110" spans="1:1" x14ac:dyDescent="0.25">
      <c r="A110" s="12" t="s">
        <v>135</v>
      </c>
    </row>
    <row r="111" spans="1:1" x14ac:dyDescent="0.25">
      <c r="A111" s="12" t="s">
        <v>134</v>
      </c>
    </row>
    <row r="112" spans="1:1" x14ac:dyDescent="0.25">
      <c r="A112" s="12" t="s">
        <v>106</v>
      </c>
    </row>
    <row r="113" spans="1:17" x14ac:dyDescent="0.25">
      <c r="A113" s="12" t="s">
        <v>143</v>
      </c>
    </row>
    <row r="114" spans="1:17" x14ac:dyDescent="0.25">
      <c r="A114" s="12" t="s">
        <v>141</v>
      </c>
    </row>
    <row r="115" spans="1:17" x14ac:dyDescent="0.25">
      <c r="A115" s="12" t="s">
        <v>144</v>
      </c>
    </row>
    <row r="116" spans="1:17" x14ac:dyDescent="0.25">
      <c r="A116" s="12" t="s">
        <v>148</v>
      </c>
    </row>
    <row r="117" spans="1:17" x14ac:dyDescent="0.25">
      <c r="A117" s="12" t="s">
        <v>150</v>
      </c>
    </row>
    <row r="118" spans="1:17" x14ac:dyDescent="0.25">
      <c r="A118" s="12" t="s">
        <v>142</v>
      </c>
    </row>
    <row r="119" spans="1:17" x14ac:dyDescent="0.25">
      <c r="A119" s="12" t="s">
        <v>82</v>
      </c>
    </row>
    <row r="120" spans="1:17" x14ac:dyDescent="0.25">
      <c r="A120" s="12"/>
    </row>
    <row r="121" spans="1:17" x14ac:dyDescent="0.25">
      <c r="A121" s="11"/>
    </row>
    <row r="122" spans="1:17" x14ac:dyDescent="0.25">
      <c r="A122" s="11" t="s">
        <v>37</v>
      </c>
    </row>
    <row r="123" spans="1:17" x14ac:dyDescent="0.25">
      <c r="A123" s="12" t="s">
        <v>38</v>
      </c>
      <c r="Q123" s="17">
        <f>SUM(B123:P123)</f>
        <v>0</v>
      </c>
    </row>
    <row r="124" spans="1:17" x14ac:dyDescent="0.25">
      <c r="A124" s="12" t="s">
        <v>39</v>
      </c>
      <c r="Q124" s="17">
        <f>SUM(B124:P124)</f>
        <v>0</v>
      </c>
    </row>
    <row r="125" spans="1:17" x14ac:dyDescent="0.25">
      <c r="A125" s="12" t="s">
        <v>40</v>
      </c>
      <c r="Q125" s="17">
        <f>SUM(B125:P125)</f>
        <v>0</v>
      </c>
    </row>
    <row r="126" spans="1:17" x14ac:dyDescent="0.25">
      <c r="A126" s="12" t="s">
        <v>41</v>
      </c>
      <c r="Q126" s="17">
        <f>SUM(B126:P126)</f>
        <v>0</v>
      </c>
    </row>
    <row r="127" spans="1:17" x14ac:dyDescent="0.25">
      <c r="A127" s="12" t="s">
        <v>63</v>
      </c>
      <c r="Q127" s="17">
        <f>SUM(B127:P143)</f>
        <v>0</v>
      </c>
    </row>
    <row r="128" spans="1:17" x14ac:dyDescent="0.25">
      <c r="A128" s="12" t="s">
        <v>64</v>
      </c>
    </row>
    <row r="129" spans="1:17" x14ac:dyDescent="0.25">
      <c r="A129" s="12" t="s">
        <v>65</v>
      </c>
    </row>
    <row r="130" spans="1:17" x14ac:dyDescent="0.25">
      <c r="A130" s="12" t="s">
        <v>66</v>
      </c>
    </row>
    <row r="131" spans="1:17" x14ac:dyDescent="0.25">
      <c r="A131" s="12" t="s">
        <v>67</v>
      </c>
    </row>
    <row r="132" spans="1:17" x14ac:dyDescent="0.25">
      <c r="A132" s="12" t="s">
        <v>129</v>
      </c>
    </row>
    <row r="133" spans="1:17" x14ac:dyDescent="0.25">
      <c r="A133" s="12" t="s">
        <v>109</v>
      </c>
    </row>
    <row r="134" spans="1:17" x14ac:dyDescent="0.25">
      <c r="A134" s="12" t="s">
        <v>68</v>
      </c>
    </row>
    <row r="135" spans="1:17" x14ac:dyDescent="0.25">
      <c r="A135" s="12" t="s">
        <v>110</v>
      </c>
    </row>
    <row r="136" spans="1:17" x14ac:dyDescent="0.25">
      <c r="A136" s="12" t="s">
        <v>83</v>
      </c>
    </row>
    <row r="137" spans="1:17" x14ac:dyDescent="0.25">
      <c r="A137" s="12" t="s">
        <v>111</v>
      </c>
    </row>
    <row r="138" spans="1:17" x14ac:dyDescent="0.25">
      <c r="A138" s="12" t="s">
        <v>92</v>
      </c>
    </row>
    <row r="139" spans="1:17" x14ac:dyDescent="0.25">
      <c r="A139" s="12" t="s">
        <v>112</v>
      </c>
    </row>
    <row r="140" spans="1:17" x14ac:dyDescent="0.25">
      <c r="A140" s="12" t="s">
        <v>140</v>
      </c>
    </row>
    <row r="141" spans="1:17" x14ac:dyDescent="0.25">
      <c r="A141" s="12" t="s">
        <v>139</v>
      </c>
    </row>
    <row r="142" spans="1:17" x14ac:dyDescent="0.25">
      <c r="A142" s="12" t="s">
        <v>69</v>
      </c>
    </row>
    <row r="143" spans="1:17" x14ac:dyDescent="0.25">
      <c r="A143" s="12"/>
    </row>
    <row r="144" spans="1:17" x14ac:dyDescent="0.25">
      <c r="A144" s="12" t="s">
        <v>42</v>
      </c>
      <c r="Q144" s="17">
        <f>SUM(B144:P144)</f>
        <v>0</v>
      </c>
    </row>
    <row r="145" spans="1:1" ht="15.75" thickBot="1" x14ac:dyDescent="0.3">
      <c r="A145" s="13" t="s">
        <v>43</v>
      </c>
    </row>
  </sheetData>
  <autoFilter ref="A6:A14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14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0" sqref="A10:XFD10"/>
    </sheetView>
  </sheetViews>
  <sheetFormatPr baseColWidth="10" defaultRowHeight="15" x14ac:dyDescent="0.25"/>
  <cols>
    <col min="1" max="1" width="42.140625" bestFit="1" customWidth="1"/>
    <col min="3" max="3" width="15.85546875" bestFit="1" customWidth="1"/>
    <col min="9" max="9" width="1.85546875" customWidth="1"/>
    <col min="17" max="17" width="12.140625" style="17" bestFit="1" customWidth="1"/>
  </cols>
  <sheetData>
    <row r="2" spans="1:17" ht="15.75" thickBot="1" x14ac:dyDescent="0.3"/>
    <row r="3" spans="1:17" x14ac:dyDescent="0.25">
      <c r="A3" s="9" t="s">
        <v>45</v>
      </c>
    </row>
    <row r="4" spans="1:17" x14ac:dyDescent="0.25">
      <c r="A4" s="11"/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</row>
    <row r="5" spans="1:17" x14ac:dyDescent="0.25">
      <c r="A5" s="11"/>
      <c r="B5" s="16">
        <v>45618</v>
      </c>
      <c r="C5" s="16">
        <v>45619</v>
      </c>
      <c r="D5" s="16">
        <v>45620</v>
      </c>
      <c r="E5" s="16">
        <v>45621</v>
      </c>
      <c r="F5" s="16">
        <v>45622</v>
      </c>
      <c r="G5" s="16">
        <v>45623</v>
      </c>
      <c r="H5" s="16">
        <v>45624</v>
      </c>
      <c r="J5" s="16">
        <v>45618</v>
      </c>
      <c r="K5" s="16">
        <v>45619</v>
      </c>
      <c r="L5" s="16">
        <v>45620</v>
      </c>
      <c r="M5" s="16">
        <v>45621</v>
      </c>
      <c r="N5" s="16">
        <v>45622</v>
      </c>
      <c r="O5" s="16">
        <v>45623</v>
      </c>
      <c r="P5" s="16">
        <v>45624</v>
      </c>
      <c r="Q5" s="18" t="s">
        <v>60</v>
      </c>
    </row>
    <row r="6" spans="1:17" x14ac:dyDescent="0.25">
      <c r="A6" s="11" t="s">
        <v>0</v>
      </c>
    </row>
    <row r="7" spans="1:17" x14ac:dyDescent="0.25">
      <c r="A7" s="12" t="s">
        <v>1</v>
      </c>
      <c r="Q7" s="17">
        <f t="shared" ref="Q7:Q47" si="0">SUM(B7:P7)</f>
        <v>0</v>
      </c>
    </row>
    <row r="8" spans="1:17" x14ac:dyDescent="0.25">
      <c r="A8" s="12" t="s">
        <v>2</v>
      </c>
      <c r="Q8" s="17">
        <f t="shared" si="0"/>
        <v>0</v>
      </c>
    </row>
    <row r="9" spans="1:17" x14ac:dyDescent="0.25">
      <c r="A9" s="12" t="s">
        <v>52</v>
      </c>
      <c r="Q9" s="17">
        <f t="shared" si="0"/>
        <v>0</v>
      </c>
    </row>
    <row r="10" spans="1:17" x14ac:dyDescent="0.25">
      <c r="A10" s="12" t="s">
        <v>3</v>
      </c>
      <c r="Q10" s="17">
        <f t="shared" si="0"/>
        <v>0</v>
      </c>
    </row>
    <row r="11" spans="1:17" x14ac:dyDescent="0.25">
      <c r="A11" s="12" t="s">
        <v>4</v>
      </c>
      <c r="Q11" s="17">
        <f t="shared" si="0"/>
        <v>0</v>
      </c>
    </row>
    <row r="12" spans="1:17" x14ac:dyDescent="0.25">
      <c r="A12" s="12" t="s">
        <v>5</v>
      </c>
      <c r="Q12" s="17">
        <f t="shared" si="0"/>
        <v>0</v>
      </c>
    </row>
    <row r="13" spans="1:17" x14ac:dyDescent="0.25">
      <c r="A13" s="12" t="s">
        <v>6</v>
      </c>
      <c r="Q13" s="17">
        <f t="shared" si="0"/>
        <v>0</v>
      </c>
    </row>
    <row r="14" spans="1:17" x14ac:dyDescent="0.25">
      <c r="A14" s="12" t="s">
        <v>7</v>
      </c>
      <c r="Q14" s="17">
        <f t="shared" si="0"/>
        <v>0</v>
      </c>
    </row>
    <row r="15" spans="1:17" x14ac:dyDescent="0.25">
      <c r="A15" s="12" t="s">
        <v>8</v>
      </c>
      <c r="Q15" s="17">
        <f t="shared" si="0"/>
        <v>0</v>
      </c>
    </row>
    <row r="16" spans="1:17" x14ac:dyDescent="0.25">
      <c r="A16" s="12" t="s">
        <v>9</v>
      </c>
      <c r="Q16" s="17">
        <f t="shared" si="0"/>
        <v>0</v>
      </c>
    </row>
    <row r="17" spans="1:17" x14ac:dyDescent="0.25">
      <c r="A17" s="12" t="s">
        <v>10</v>
      </c>
      <c r="Q17" s="17">
        <f t="shared" si="0"/>
        <v>0</v>
      </c>
    </row>
    <row r="18" spans="1:17" x14ac:dyDescent="0.25">
      <c r="A18" s="12" t="s">
        <v>11</v>
      </c>
      <c r="Q18" s="17">
        <f t="shared" si="0"/>
        <v>0</v>
      </c>
    </row>
    <row r="19" spans="1:17" x14ac:dyDescent="0.25">
      <c r="A19" s="12" t="s">
        <v>12</v>
      </c>
      <c r="Q19" s="17">
        <f t="shared" si="0"/>
        <v>0</v>
      </c>
    </row>
    <row r="20" spans="1:17" x14ac:dyDescent="0.25">
      <c r="A20" s="12" t="s">
        <v>13</v>
      </c>
      <c r="Q20" s="17">
        <f t="shared" si="0"/>
        <v>0</v>
      </c>
    </row>
    <row r="21" spans="1:17" x14ac:dyDescent="0.25">
      <c r="A21" s="12" t="s">
        <v>14</v>
      </c>
      <c r="Q21" s="17">
        <f t="shared" si="0"/>
        <v>0</v>
      </c>
    </row>
    <row r="22" spans="1:17" x14ac:dyDescent="0.25">
      <c r="A22" s="12" t="s">
        <v>153</v>
      </c>
      <c r="Q22" s="17">
        <f t="shared" si="0"/>
        <v>0</v>
      </c>
    </row>
    <row r="23" spans="1:17" x14ac:dyDescent="0.25">
      <c r="A23" s="12"/>
    </row>
    <row r="24" spans="1:17" x14ac:dyDescent="0.25">
      <c r="A24" s="12"/>
    </row>
    <row r="25" spans="1:17" x14ac:dyDescent="0.25">
      <c r="A25" s="12"/>
    </row>
    <row r="26" spans="1:17" x14ac:dyDescent="0.25">
      <c r="A26" s="11" t="s">
        <v>15</v>
      </c>
    </row>
    <row r="27" spans="1:17" x14ac:dyDescent="0.25">
      <c r="A27" s="12" t="s">
        <v>16</v>
      </c>
      <c r="Q27" s="17">
        <f t="shared" si="0"/>
        <v>0</v>
      </c>
    </row>
    <row r="28" spans="1:17" x14ac:dyDescent="0.25">
      <c r="A28" s="12" t="s">
        <v>17</v>
      </c>
      <c r="Q28" s="17">
        <f t="shared" si="0"/>
        <v>0</v>
      </c>
    </row>
    <row r="29" spans="1:17" x14ac:dyDescent="0.25">
      <c r="A29" s="12" t="s">
        <v>18</v>
      </c>
      <c r="Q29" s="17">
        <f t="shared" si="0"/>
        <v>0</v>
      </c>
    </row>
    <row r="30" spans="1:17" x14ac:dyDescent="0.25">
      <c r="A30" s="12" t="s">
        <v>162</v>
      </c>
      <c r="Q30" s="17">
        <f t="shared" si="0"/>
        <v>0</v>
      </c>
    </row>
    <row r="31" spans="1:17" x14ac:dyDescent="0.25">
      <c r="A31" s="12"/>
    </row>
    <row r="32" spans="1:17" x14ac:dyDescent="0.25">
      <c r="A32" s="11" t="s">
        <v>19</v>
      </c>
    </row>
    <row r="33" spans="1:17" x14ac:dyDescent="0.25">
      <c r="A33" s="12" t="s">
        <v>20</v>
      </c>
      <c r="Q33" s="17">
        <f t="shared" si="0"/>
        <v>0</v>
      </c>
    </row>
    <row r="34" spans="1:17" x14ac:dyDescent="0.25">
      <c r="A34" s="12" t="s">
        <v>21</v>
      </c>
      <c r="Q34" s="17">
        <f t="shared" si="0"/>
        <v>0</v>
      </c>
    </row>
    <row r="35" spans="1:17" x14ac:dyDescent="0.25">
      <c r="A35" s="12" t="s">
        <v>22</v>
      </c>
      <c r="Q35" s="17">
        <f t="shared" si="0"/>
        <v>0</v>
      </c>
    </row>
    <row r="36" spans="1:17" x14ac:dyDescent="0.25">
      <c r="A36" s="12"/>
    </row>
    <row r="37" spans="1:17" x14ac:dyDescent="0.25">
      <c r="A37" s="11" t="s">
        <v>23</v>
      </c>
    </row>
    <row r="38" spans="1:17" x14ac:dyDescent="0.25">
      <c r="A38" s="12" t="s">
        <v>24</v>
      </c>
      <c r="Q38" s="17">
        <f t="shared" si="0"/>
        <v>0</v>
      </c>
    </row>
    <row r="39" spans="1:17" x14ac:dyDescent="0.25">
      <c r="A39" s="12" t="s">
        <v>25</v>
      </c>
      <c r="Q39" s="17">
        <f t="shared" si="0"/>
        <v>0</v>
      </c>
    </row>
    <row r="40" spans="1:17" x14ac:dyDescent="0.25">
      <c r="A40" s="12" t="s">
        <v>26</v>
      </c>
      <c r="Q40" s="17">
        <f t="shared" si="0"/>
        <v>0</v>
      </c>
    </row>
    <row r="41" spans="1:17" x14ac:dyDescent="0.25">
      <c r="A41" s="12" t="s">
        <v>27</v>
      </c>
      <c r="Q41" s="17">
        <f t="shared" si="0"/>
        <v>0</v>
      </c>
    </row>
    <row r="42" spans="1:17" x14ac:dyDescent="0.25">
      <c r="A42" s="12" t="s">
        <v>28</v>
      </c>
      <c r="Q42" s="17">
        <f t="shared" si="0"/>
        <v>0</v>
      </c>
    </row>
    <row r="43" spans="1:17" x14ac:dyDescent="0.25">
      <c r="A43" s="12" t="s">
        <v>29</v>
      </c>
      <c r="Q43" s="17">
        <f t="shared" si="0"/>
        <v>0</v>
      </c>
    </row>
    <row r="44" spans="1:17" x14ac:dyDescent="0.25">
      <c r="A44" s="12" t="s">
        <v>30</v>
      </c>
      <c r="Q44" s="17">
        <f t="shared" si="0"/>
        <v>0</v>
      </c>
    </row>
    <row r="45" spans="1:17" x14ac:dyDescent="0.25">
      <c r="A45" s="12" t="s">
        <v>31</v>
      </c>
      <c r="Q45" s="17">
        <f t="shared" si="0"/>
        <v>0</v>
      </c>
    </row>
    <row r="46" spans="1:17" x14ac:dyDescent="0.25">
      <c r="A46" s="12" t="s">
        <v>32</v>
      </c>
      <c r="Q46" s="17">
        <f t="shared" si="0"/>
        <v>0</v>
      </c>
    </row>
    <row r="47" spans="1:17" x14ac:dyDescent="0.25">
      <c r="A47" s="12" t="s">
        <v>33</v>
      </c>
      <c r="Q47" s="17">
        <f t="shared" si="0"/>
        <v>0</v>
      </c>
    </row>
    <row r="48" spans="1:17" x14ac:dyDescent="0.25">
      <c r="A48" s="12"/>
      <c r="Q48" s="17">
        <f>SUM(D49:P83)</f>
        <v>0</v>
      </c>
    </row>
    <row r="49" spans="1:1" x14ac:dyDescent="0.25">
      <c r="A49" s="12" t="s">
        <v>72</v>
      </c>
    </row>
    <row r="50" spans="1:1" x14ac:dyDescent="0.25">
      <c r="A50" s="12" t="s">
        <v>80</v>
      </c>
    </row>
    <row r="51" spans="1:1" x14ac:dyDescent="0.25">
      <c r="A51" s="12" t="s">
        <v>85</v>
      </c>
    </row>
    <row r="52" spans="1:1" x14ac:dyDescent="0.25">
      <c r="A52" s="12" t="s">
        <v>86</v>
      </c>
    </row>
    <row r="53" spans="1:1" x14ac:dyDescent="0.25">
      <c r="A53" s="12" t="s">
        <v>84</v>
      </c>
    </row>
    <row r="54" spans="1:1" x14ac:dyDescent="0.25">
      <c r="A54" s="12" t="s">
        <v>88</v>
      </c>
    </row>
    <row r="55" spans="1:1" x14ac:dyDescent="0.25">
      <c r="A55" s="12" t="s">
        <v>89</v>
      </c>
    </row>
    <row r="56" spans="1:1" x14ac:dyDescent="0.25">
      <c r="A56" s="12" t="s">
        <v>91</v>
      </c>
    </row>
    <row r="57" spans="1:1" x14ac:dyDescent="0.25">
      <c r="A57" s="12" t="s">
        <v>90</v>
      </c>
    </row>
    <row r="58" spans="1:1" x14ac:dyDescent="0.25">
      <c r="A58" s="12" t="s">
        <v>93</v>
      </c>
    </row>
    <row r="59" spans="1:1" x14ac:dyDescent="0.25">
      <c r="A59" s="12" t="s">
        <v>96</v>
      </c>
    </row>
    <row r="60" spans="1:1" x14ac:dyDescent="0.25">
      <c r="A60" s="12" t="s">
        <v>99</v>
      </c>
    </row>
    <row r="61" spans="1:1" x14ac:dyDescent="0.25">
      <c r="A61" s="12" t="s">
        <v>101</v>
      </c>
    </row>
    <row r="62" spans="1:1" x14ac:dyDescent="0.25">
      <c r="A62" s="12" t="s">
        <v>100</v>
      </c>
    </row>
    <row r="63" spans="1:1" x14ac:dyDescent="0.25">
      <c r="A63" s="12" t="s">
        <v>98</v>
      </c>
    </row>
    <row r="64" spans="1:1" ht="14.25" customHeight="1" x14ac:dyDescent="0.25">
      <c r="A64" s="12" t="s">
        <v>102</v>
      </c>
    </row>
    <row r="65" spans="1:1" ht="17.25" customHeight="1" x14ac:dyDescent="0.25">
      <c r="A65" s="12" t="s">
        <v>97</v>
      </c>
    </row>
    <row r="66" spans="1:1" x14ac:dyDescent="0.25">
      <c r="A66" s="12" t="s">
        <v>104</v>
      </c>
    </row>
    <row r="67" spans="1:1" x14ac:dyDescent="0.25">
      <c r="A67" s="12" t="s">
        <v>119</v>
      </c>
    </row>
    <row r="68" spans="1:1" x14ac:dyDescent="0.25">
      <c r="A68" s="12" t="s">
        <v>117</v>
      </c>
    </row>
    <row r="69" spans="1:1" x14ac:dyDescent="0.25">
      <c r="A69" s="12" t="s">
        <v>118</v>
      </c>
    </row>
    <row r="70" spans="1:1" x14ac:dyDescent="0.25">
      <c r="A70" s="12" t="s">
        <v>121</v>
      </c>
    </row>
    <row r="71" spans="1:1" x14ac:dyDescent="0.25">
      <c r="A71" s="12" t="s">
        <v>128</v>
      </c>
    </row>
    <row r="72" spans="1:1" x14ac:dyDescent="0.25">
      <c r="A72" s="12" t="s">
        <v>122</v>
      </c>
    </row>
    <row r="73" spans="1:1" x14ac:dyDescent="0.25">
      <c r="A73" s="12" t="s">
        <v>125</v>
      </c>
    </row>
    <row r="74" spans="1:1" x14ac:dyDescent="0.25">
      <c r="A74" s="12" t="s">
        <v>124</v>
      </c>
    </row>
    <row r="75" spans="1:1" x14ac:dyDescent="0.25">
      <c r="A75" s="12" t="s">
        <v>127</v>
      </c>
    </row>
    <row r="76" spans="1:1" x14ac:dyDescent="0.25">
      <c r="A76" s="12" t="s">
        <v>105</v>
      </c>
    </row>
    <row r="77" spans="1:1" x14ac:dyDescent="0.25">
      <c r="A77" s="12" t="s">
        <v>147</v>
      </c>
    </row>
    <row r="78" spans="1:1" x14ac:dyDescent="0.25">
      <c r="A78" s="12" t="s">
        <v>149</v>
      </c>
    </row>
    <row r="79" spans="1:1" x14ac:dyDescent="0.25">
      <c r="A79" s="12" t="s">
        <v>151</v>
      </c>
    </row>
    <row r="80" spans="1:1" x14ac:dyDescent="0.25">
      <c r="A80" s="12" t="s">
        <v>103</v>
      </c>
    </row>
    <row r="81" spans="1:17" x14ac:dyDescent="0.25">
      <c r="A81" s="12" t="s">
        <v>152</v>
      </c>
    </row>
    <row r="82" spans="1:17" x14ac:dyDescent="0.25">
      <c r="A82" s="12" t="s">
        <v>136</v>
      </c>
    </row>
    <row r="83" spans="1:17" x14ac:dyDescent="0.25">
      <c r="A83" s="12" t="s">
        <v>87</v>
      </c>
    </row>
    <row r="84" spans="1:17" x14ac:dyDescent="0.25">
      <c r="A84" s="12"/>
    </row>
    <row r="85" spans="1:17" x14ac:dyDescent="0.25">
      <c r="A85" s="11" t="s">
        <v>34</v>
      </c>
    </row>
    <row r="86" spans="1:17" x14ac:dyDescent="0.25">
      <c r="A86" s="12" t="s">
        <v>35</v>
      </c>
      <c r="Q86" s="17">
        <f>SUM(B86:O86)</f>
        <v>0</v>
      </c>
    </row>
    <row r="87" spans="1:17" x14ac:dyDescent="0.25">
      <c r="A87" s="12" t="s">
        <v>73</v>
      </c>
      <c r="Q87" s="17">
        <f ca="1">SUM(F87:Q93)</f>
        <v>0</v>
      </c>
    </row>
    <row r="88" spans="1:17" x14ac:dyDescent="0.25">
      <c r="A88" s="12" t="s">
        <v>74</v>
      </c>
    </row>
    <row r="89" spans="1:17" x14ac:dyDescent="0.25">
      <c r="A89" s="12" t="s">
        <v>75</v>
      </c>
    </row>
    <row r="90" spans="1:17" x14ac:dyDescent="0.25">
      <c r="A90" s="12" t="s">
        <v>79</v>
      </c>
    </row>
    <row r="91" spans="1:17" x14ac:dyDescent="0.25">
      <c r="A91" s="12" t="s">
        <v>108</v>
      </c>
    </row>
    <row r="92" spans="1:17" x14ac:dyDescent="0.25">
      <c r="A92" s="12" t="s">
        <v>107</v>
      </c>
    </row>
    <row r="93" spans="1:17" x14ac:dyDescent="0.25">
      <c r="A93" s="12"/>
    </row>
    <row r="94" spans="1:17" x14ac:dyDescent="0.25">
      <c r="A94" s="12"/>
    </row>
    <row r="95" spans="1:17" x14ac:dyDescent="0.25">
      <c r="A95" s="11" t="s">
        <v>36</v>
      </c>
      <c r="Q95" s="17">
        <f>SUM(B96:P120)</f>
        <v>0</v>
      </c>
    </row>
    <row r="96" spans="1:17" x14ac:dyDescent="0.25">
      <c r="A96" s="12" t="s">
        <v>70</v>
      </c>
    </row>
    <row r="97" spans="1:1" x14ac:dyDescent="0.25">
      <c r="A97" s="12" t="s">
        <v>71</v>
      </c>
    </row>
    <row r="98" spans="1:1" x14ac:dyDescent="0.25">
      <c r="A98" s="12" t="s">
        <v>76</v>
      </c>
    </row>
    <row r="99" spans="1:1" x14ac:dyDescent="0.25">
      <c r="A99" s="12" t="s">
        <v>77</v>
      </c>
    </row>
    <row r="100" spans="1:1" x14ac:dyDescent="0.25">
      <c r="A100" s="12" t="s">
        <v>78</v>
      </c>
    </row>
    <row r="101" spans="1:1" x14ac:dyDescent="0.25">
      <c r="A101" s="12" t="s">
        <v>81</v>
      </c>
    </row>
    <row r="102" spans="1:1" x14ac:dyDescent="0.25">
      <c r="A102" s="12" t="s">
        <v>145</v>
      </c>
    </row>
    <row r="103" spans="1:1" x14ac:dyDescent="0.25">
      <c r="A103" s="12" t="s">
        <v>94</v>
      </c>
    </row>
    <row r="104" spans="1:1" x14ac:dyDescent="0.25">
      <c r="A104" s="12" t="s">
        <v>95</v>
      </c>
    </row>
    <row r="105" spans="1:1" x14ac:dyDescent="0.25">
      <c r="A105" s="12" t="s">
        <v>120</v>
      </c>
    </row>
    <row r="106" spans="1:1" x14ac:dyDescent="0.25">
      <c r="A106" s="12" t="s">
        <v>116</v>
      </c>
    </row>
    <row r="107" spans="1:1" x14ac:dyDescent="0.25">
      <c r="A107" s="12" t="s">
        <v>126</v>
      </c>
    </row>
    <row r="108" spans="1:1" x14ac:dyDescent="0.25">
      <c r="A108" s="12" t="s">
        <v>130</v>
      </c>
    </row>
    <row r="109" spans="1:1" x14ac:dyDescent="0.25">
      <c r="A109" s="12" t="s">
        <v>146</v>
      </c>
    </row>
    <row r="110" spans="1:1" x14ac:dyDescent="0.25">
      <c r="A110" s="12" t="s">
        <v>135</v>
      </c>
    </row>
    <row r="111" spans="1:1" x14ac:dyDescent="0.25">
      <c r="A111" s="12" t="s">
        <v>134</v>
      </c>
    </row>
    <row r="112" spans="1:1" x14ac:dyDescent="0.25">
      <c r="A112" s="12" t="s">
        <v>106</v>
      </c>
    </row>
    <row r="113" spans="1:17" x14ac:dyDescent="0.25">
      <c r="A113" s="12" t="s">
        <v>143</v>
      </c>
    </row>
    <row r="114" spans="1:17" x14ac:dyDescent="0.25">
      <c r="A114" s="12" t="s">
        <v>141</v>
      </c>
    </row>
    <row r="115" spans="1:17" x14ac:dyDescent="0.25">
      <c r="A115" s="12" t="s">
        <v>144</v>
      </c>
    </row>
    <row r="116" spans="1:17" x14ac:dyDescent="0.25">
      <c r="A116" s="12" t="s">
        <v>148</v>
      </c>
    </row>
    <row r="117" spans="1:17" x14ac:dyDescent="0.25">
      <c r="A117" s="12" t="s">
        <v>150</v>
      </c>
    </row>
    <row r="118" spans="1:17" x14ac:dyDescent="0.25">
      <c r="A118" s="12" t="s">
        <v>142</v>
      </c>
    </row>
    <row r="119" spans="1:17" x14ac:dyDescent="0.25">
      <c r="A119" s="12" t="s">
        <v>82</v>
      </c>
    </row>
    <row r="120" spans="1:17" x14ac:dyDescent="0.25">
      <c r="A120" s="12"/>
    </row>
    <row r="121" spans="1:17" x14ac:dyDescent="0.25">
      <c r="A121" s="11"/>
    </row>
    <row r="122" spans="1:17" x14ac:dyDescent="0.25">
      <c r="A122" s="11" t="s">
        <v>37</v>
      </c>
    </row>
    <row r="123" spans="1:17" x14ac:dyDescent="0.25">
      <c r="A123" s="12" t="s">
        <v>38</v>
      </c>
      <c r="Q123" s="17">
        <f>SUM(B123:P123)</f>
        <v>0</v>
      </c>
    </row>
    <row r="124" spans="1:17" x14ac:dyDescent="0.25">
      <c r="A124" s="12" t="s">
        <v>39</v>
      </c>
      <c r="Q124" s="17">
        <f>SUM(B124:P124)</f>
        <v>0</v>
      </c>
    </row>
    <row r="125" spans="1:17" x14ac:dyDescent="0.25">
      <c r="A125" s="12" t="s">
        <v>40</v>
      </c>
      <c r="Q125" s="17">
        <f>SUM(B125:P125)</f>
        <v>0</v>
      </c>
    </row>
    <row r="126" spans="1:17" x14ac:dyDescent="0.25">
      <c r="A126" s="12" t="s">
        <v>41</v>
      </c>
      <c r="Q126" s="17">
        <f>SUM(B126:P126)</f>
        <v>0</v>
      </c>
    </row>
    <row r="127" spans="1:17" x14ac:dyDescent="0.25">
      <c r="A127" s="12" t="s">
        <v>63</v>
      </c>
      <c r="Q127" s="17">
        <f>SUM(B127:P143)</f>
        <v>0</v>
      </c>
    </row>
    <row r="128" spans="1:17" x14ac:dyDescent="0.25">
      <c r="A128" s="12" t="s">
        <v>64</v>
      </c>
    </row>
    <row r="129" spans="1:17" x14ac:dyDescent="0.25">
      <c r="A129" s="12" t="s">
        <v>65</v>
      </c>
    </row>
    <row r="130" spans="1:17" x14ac:dyDescent="0.25">
      <c r="A130" s="12" t="s">
        <v>66</v>
      </c>
    </row>
    <row r="131" spans="1:17" x14ac:dyDescent="0.25">
      <c r="A131" s="12" t="s">
        <v>67</v>
      </c>
    </row>
    <row r="132" spans="1:17" x14ac:dyDescent="0.25">
      <c r="A132" s="12" t="s">
        <v>129</v>
      </c>
    </row>
    <row r="133" spans="1:17" x14ac:dyDescent="0.25">
      <c r="A133" s="12" t="s">
        <v>109</v>
      </c>
    </row>
    <row r="134" spans="1:17" x14ac:dyDescent="0.25">
      <c r="A134" s="12" t="s">
        <v>68</v>
      </c>
    </row>
    <row r="135" spans="1:17" x14ac:dyDescent="0.25">
      <c r="A135" s="12" t="s">
        <v>110</v>
      </c>
    </row>
    <row r="136" spans="1:17" x14ac:dyDescent="0.25">
      <c r="A136" s="12" t="s">
        <v>83</v>
      </c>
    </row>
    <row r="137" spans="1:17" x14ac:dyDescent="0.25">
      <c r="A137" s="12" t="s">
        <v>111</v>
      </c>
    </row>
    <row r="138" spans="1:17" x14ac:dyDescent="0.25">
      <c r="A138" s="12" t="s">
        <v>92</v>
      </c>
    </row>
    <row r="139" spans="1:17" x14ac:dyDescent="0.25">
      <c r="A139" s="12" t="s">
        <v>112</v>
      </c>
    </row>
    <row r="140" spans="1:17" x14ac:dyDescent="0.25">
      <c r="A140" s="12" t="s">
        <v>140</v>
      </c>
    </row>
    <row r="141" spans="1:17" x14ac:dyDescent="0.25">
      <c r="A141" s="12" t="s">
        <v>139</v>
      </c>
    </row>
    <row r="142" spans="1:17" x14ac:dyDescent="0.25">
      <c r="A142" s="12" t="s">
        <v>69</v>
      </c>
    </row>
    <row r="143" spans="1:17" x14ac:dyDescent="0.25">
      <c r="A143" s="12"/>
    </row>
    <row r="144" spans="1:17" x14ac:dyDescent="0.25">
      <c r="A144" s="12" t="s">
        <v>42</v>
      </c>
      <c r="Q144" s="17">
        <f>SUM(B144:P144)</f>
        <v>0</v>
      </c>
    </row>
    <row r="145" spans="1:1" ht="15.75" thickBot="1" x14ac:dyDescent="0.3">
      <c r="A145" s="13" t="s">
        <v>43</v>
      </c>
    </row>
  </sheetData>
  <autoFilter ref="A6:A14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"/>
  <sheetViews>
    <sheetView workbookViewId="0">
      <selection activeCell="K15" sqref="K15"/>
    </sheetView>
  </sheetViews>
  <sheetFormatPr baseColWidth="10" defaultRowHeight="15" x14ac:dyDescent="0.25"/>
  <cols>
    <col min="1" max="1" width="29.42578125" bestFit="1" customWidth="1"/>
  </cols>
  <sheetData>
    <row r="1" spans="1:11" x14ac:dyDescent="0.25">
      <c r="B1" s="16">
        <v>45962</v>
      </c>
      <c r="C1" s="16">
        <v>45963</v>
      </c>
      <c r="D1" s="16">
        <v>45964</v>
      </c>
      <c r="E1" s="16">
        <v>45965</v>
      </c>
      <c r="F1" s="16">
        <v>45966</v>
      </c>
      <c r="G1" s="16">
        <v>45967</v>
      </c>
      <c r="H1" s="16">
        <v>45968</v>
      </c>
      <c r="I1" s="16">
        <v>45969</v>
      </c>
      <c r="J1" s="16">
        <v>45970</v>
      </c>
      <c r="K1" s="16">
        <v>45971</v>
      </c>
    </row>
    <row r="2" spans="1:11" x14ac:dyDescent="0.25">
      <c r="A2" t="s">
        <v>171</v>
      </c>
      <c r="G2">
        <v>127.88</v>
      </c>
    </row>
    <row r="3" spans="1:11" x14ac:dyDescent="0.25">
      <c r="A3" t="s">
        <v>172</v>
      </c>
      <c r="B3">
        <f>26+31.65</f>
        <v>57.65</v>
      </c>
      <c r="G3">
        <v>29.85</v>
      </c>
    </row>
    <row r="4" spans="1:11" x14ac:dyDescent="0.25">
      <c r="A4" t="s">
        <v>173</v>
      </c>
      <c r="C4">
        <v>52</v>
      </c>
    </row>
    <row r="5" spans="1:11" x14ac:dyDescent="0.25">
      <c r="A5" t="s">
        <v>174</v>
      </c>
      <c r="C5">
        <v>65</v>
      </c>
    </row>
    <row r="6" spans="1:11" x14ac:dyDescent="0.25">
      <c r="A6" t="s">
        <v>175</v>
      </c>
      <c r="D6">
        <v>13.47</v>
      </c>
    </row>
    <row r="7" spans="1:11" x14ac:dyDescent="0.25">
      <c r="A7" t="s">
        <v>189</v>
      </c>
      <c r="B7">
        <v>64.430000000000007</v>
      </c>
    </row>
    <row r="8" spans="1:11" x14ac:dyDescent="0.25">
      <c r="A8" t="s">
        <v>178</v>
      </c>
      <c r="F8">
        <v>7.78</v>
      </c>
    </row>
    <row r="9" spans="1:11" x14ac:dyDescent="0.25">
      <c r="A9" t="s">
        <v>183</v>
      </c>
      <c r="F9">
        <v>44.68</v>
      </c>
    </row>
    <row r="10" spans="1:11" x14ac:dyDescent="0.25">
      <c r="A10" t="s">
        <v>184</v>
      </c>
      <c r="G10">
        <v>461.17</v>
      </c>
    </row>
    <row r="11" spans="1:11" x14ac:dyDescent="0.25">
      <c r="A11" t="s">
        <v>185</v>
      </c>
      <c r="G11">
        <v>107.63</v>
      </c>
    </row>
    <row r="12" spans="1:11" x14ac:dyDescent="0.25">
      <c r="A12" t="s">
        <v>186</v>
      </c>
      <c r="E12">
        <v>280.45999999999998</v>
      </c>
      <c r="H12">
        <v>325.17</v>
      </c>
    </row>
    <row r="13" spans="1:11" x14ac:dyDescent="0.25">
      <c r="A13" t="s">
        <v>187</v>
      </c>
      <c r="H13">
        <v>60.22</v>
      </c>
    </row>
    <row r="14" spans="1:11" x14ac:dyDescent="0.25">
      <c r="A14" t="s">
        <v>188</v>
      </c>
      <c r="H14">
        <v>78.53</v>
      </c>
    </row>
    <row r="15" spans="1:11" x14ac:dyDescent="0.25">
      <c r="A15" t="s">
        <v>190</v>
      </c>
      <c r="G15">
        <v>33.880000000000003</v>
      </c>
      <c r="H15">
        <v>8.8000000000000007</v>
      </c>
    </row>
    <row r="16" spans="1:11" x14ac:dyDescent="0.25">
      <c r="A16" t="s">
        <v>191</v>
      </c>
      <c r="G16">
        <v>10.119999999999999</v>
      </c>
    </row>
    <row r="17" spans="1:9" x14ac:dyDescent="0.25">
      <c r="A17" t="s">
        <v>192</v>
      </c>
      <c r="I17">
        <v>104.55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insumos</vt:lpstr>
      <vt:lpstr>lista para compra</vt:lpstr>
      <vt:lpstr>control de compras</vt:lpstr>
      <vt:lpstr>sem 1</vt:lpstr>
      <vt:lpstr>sem2</vt:lpstr>
      <vt:lpstr>sem3</vt:lpstr>
      <vt:lpstr>sem4</vt:lpstr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Italos restaurante</cp:lastModifiedBy>
  <cp:lastPrinted>2025-11-06T15:49:55Z</cp:lastPrinted>
  <dcterms:created xsi:type="dcterms:W3CDTF">2023-11-30T17:11:45Z</dcterms:created>
  <dcterms:modified xsi:type="dcterms:W3CDTF">2025-11-08T17:30:19Z</dcterms:modified>
</cp:coreProperties>
</file>